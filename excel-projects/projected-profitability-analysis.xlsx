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filterPrivacy="1" defaultThemeVersion="166925"/>
  <xr:revisionPtr revIDLastSave="0" documentId="13_ncr:1_{CCE7B8F6-08C9-4D43-97CC-B2F534FD8891}" xr6:coauthVersionLast="47" xr6:coauthVersionMax="47" xr10:uidLastSave="{00000000-0000-0000-0000-000000000000}"/>
  <bookViews>
    <workbookView xWindow="-108" yWindow="-108" windowWidth="23256" windowHeight="12456" xr2:uid="{0CEF41E7-D587-478B-9FCE-72C442310627}"/>
  </bookViews>
  <sheets>
    <sheet name="Sod" sheetId="1" r:id="rId1"/>
  </sheets>
  <definedNames>
    <definedName name="MarginalNetIncome">Sod!$L$22</definedName>
    <definedName name="Semester">"2020 Spring"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R7" i="1"/>
  <c r="Q7" i="1"/>
  <c r="P7" i="1"/>
  <c r="O7" i="1"/>
  <c r="P3" i="1"/>
  <c r="Q3" i="1"/>
  <c r="R3" i="1"/>
  <c r="S3" i="1"/>
  <c r="P4" i="1"/>
  <c r="Q4" i="1"/>
  <c r="R4" i="1"/>
  <c r="S4" i="1"/>
  <c r="P5" i="1"/>
  <c r="Q5" i="1"/>
  <c r="R5" i="1"/>
  <c r="S5" i="1"/>
  <c r="P6" i="1"/>
  <c r="Q6" i="1"/>
  <c r="R6" i="1"/>
  <c r="S6" i="1"/>
  <c r="O6" i="1"/>
  <c r="O5" i="1"/>
  <c r="O4" i="1"/>
  <c r="O3" i="1"/>
  <c r="B37" i="1"/>
  <c r="C8" i="1" s="1"/>
  <c r="E28" i="1"/>
  <c r="E29" i="1"/>
  <c r="E30" i="1"/>
  <c r="E31" i="1" s="1"/>
  <c r="E32" i="1" s="1"/>
  <c r="E33" i="1" s="1"/>
  <c r="E34" i="1" s="1"/>
  <c r="E27" i="1"/>
  <c r="E26" i="1"/>
  <c r="F26" i="1"/>
  <c r="F27" i="1"/>
  <c r="F28" i="1"/>
  <c r="F29" i="1"/>
  <c r="F30" i="1"/>
  <c r="F31" i="1"/>
  <c r="F32" i="1"/>
  <c r="F33" i="1"/>
  <c r="F34" i="1"/>
  <c r="F25" i="1"/>
  <c r="D11" i="1"/>
  <c r="E11" i="1" s="1"/>
  <c r="F11" i="1" s="1"/>
  <c r="G11" i="1" s="1"/>
  <c r="F9" i="1"/>
  <c r="G9" i="1" s="1"/>
  <c r="E9" i="1"/>
  <c r="D9" i="1"/>
  <c r="B35" i="1"/>
  <c r="K18" i="1"/>
  <c r="K17" i="1"/>
  <c r="K16" i="1"/>
  <c r="K15" i="1"/>
  <c r="L19" i="1" s="1"/>
  <c r="G8" i="1" l="1"/>
  <c r="F8" i="1" l="1"/>
  <c r="E8" i="1"/>
  <c r="D8" i="1"/>
  <c r="L8" i="1" l="1"/>
  <c r="L12" i="1"/>
  <c r="L9" i="1"/>
  <c r="L10" i="1" l="1"/>
  <c r="L13" i="1" s="1"/>
  <c r="L20" i="1" s="1"/>
  <c r="L21" i="1" s="1"/>
  <c r="L22" i="1" l="1"/>
  <c r="N16" i="1" s="1"/>
</calcChain>
</file>

<file path=xl/sharedStrings.xml><?xml version="1.0" encoding="utf-8"?>
<sst xmlns="http://schemas.openxmlformats.org/spreadsheetml/2006/main" count="54" uniqueCount="51">
  <si>
    <t>Simulated Profitability Statistics Given Various Sod Costs</t>
  </si>
  <si>
    <r>
      <t xml:space="preserve">    Projected Profitability Analysis via Simulation            </t>
    </r>
    <r>
      <rPr>
        <sz val="11"/>
        <color theme="8" tint="0.39997558519241921"/>
        <rFont val="Arial"/>
        <family val="2"/>
      </rPr>
      <t xml:space="preserve">      .</t>
    </r>
  </si>
  <si>
    <t>St Augustine Cost</t>
  </si>
  <si>
    <r>
      <t xml:space="preserve">    For the Year Ending Dec 31, 2019 </t>
    </r>
    <r>
      <rPr>
        <sz val="11"/>
        <color theme="4" tint="0.59999389629810485"/>
        <rFont val="Arial"/>
        <family val="2"/>
      </rPr>
      <t>3/8/2020</t>
    </r>
  </si>
  <si>
    <t>Average Income</t>
  </si>
  <si>
    <t>Standard Deviation</t>
  </si>
  <si>
    <t>Assumptions:</t>
  </si>
  <si>
    <t>Sod Varieties</t>
  </si>
  <si>
    <t>Projections:</t>
  </si>
  <si>
    <t>Maximum Income</t>
  </si>
  <si>
    <t>St. Augustine</t>
  </si>
  <si>
    <t>Bermuda</t>
  </si>
  <si>
    <t>Centipede</t>
  </si>
  <si>
    <t>Zoysia</t>
  </si>
  <si>
    <t>Fido's Special Mix</t>
  </si>
  <si>
    <t>Minimum Income</t>
  </si>
  <si>
    <t>Regarding revenues</t>
  </si>
  <si>
    <t>% Chance of At Least Breaking Even</t>
  </si>
  <si>
    <t>Units (Pallets) sold</t>
  </si>
  <si>
    <t>Sales</t>
  </si>
  <si>
    <t>Selling Price/Pallet</t>
  </si>
  <si>
    <t>COGS</t>
  </si>
  <si>
    <t>Regarding variable expenses (on a per unit basis)</t>
  </si>
  <si>
    <t>Gross profit</t>
  </si>
  <si>
    <t>Other variable expenses:</t>
  </si>
  <si>
    <t>Delivery</t>
  </si>
  <si>
    <t>Delivery expense</t>
  </si>
  <si>
    <t>Regarding marginal fixed expenses</t>
  </si>
  <si>
    <t>Contribution margin</t>
  </si>
  <si>
    <t>Marketing</t>
  </si>
  <si>
    <t>Fixed expenses:</t>
  </si>
  <si>
    <t>Potential Costs of St. Augustine</t>
  </si>
  <si>
    <t>Payroll</t>
  </si>
  <si>
    <t xml:space="preserve">Savings (aka retained earnings) </t>
  </si>
  <si>
    <t>Estimated overhead</t>
  </si>
  <si>
    <t>Other items</t>
  </si>
  <si>
    <t>Overhead</t>
  </si>
  <si>
    <t>Marginal tax rate</t>
  </si>
  <si>
    <t>Total fixed expenses</t>
  </si>
  <si>
    <t>Marginal income before taxes</t>
  </si>
  <si>
    <t>Estimated income tax expense</t>
  </si>
  <si>
    <t>Marginal net income</t>
  </si>
  <si>
    <t>St. Augustine Pallet Sales Probabilities</t>
  </si>
  <si>
    <t>Unit Sales Distribution Table</t>
  </si>
  <si>
    <t>Units</t>
  </si>
  <si>
    <t>Individual Probability</t>
  </si>
  <si>
    <t>Cumulative Probability</t>
  </si>
  <si>
    <t>Related Units</t>
  </si>
  <si>
    <t>Random Number</t>
  </si>
  <si>
    <r>
      <t xml:space="preserve">Zeus's Landscaping - Product Category:Sod </t>
    </r>
    <r>
      <rPr>
        <sz val="11"/>
        <color theme="8" tint="0.39997558519241921"/>
        <rFont val="Arial"/>
        <family val="2"/>
      </rPr>
      <t>3/22/2019</t>
    </r>
  </si>
  <si>
    <r>
      <t xml:space="preserve">   Retained Earnings (Savings for future equipment </t>
    </r>
    <r>
      <rPr>
        <b/>
        <sz val="8"/>
        <rFont val="Arial"/>
        <family val="2"/>
      </rPr>
      <t>because Zeus doesn't steam from his future!)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</si>
</sst>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(* #,##0_);_(* \(#,##0\);_(* &quot;-&quot;??_);_(@_)"/>
    <numFmt numFmtId="165" formatCode="_(* #,##0.00_);_(* \(#,##0.00\);_(\ 0.00_);_(@_)"/>
    <numFmt numFmtId="166" formatCode="_(&quot;$&quot;* #,##0_);_(&quot;$&quot;* \(#,##0\);_(&quot;$&quot;* &quot;-&quot;??_);_(@_)"/>
    <numFmt numFmtId="167" formatCode="_(&quot;$&quot;* #,##0.00_);_(&quot;$&quot;* \(#,##0.00\);_(&quot;$&quot;* &quot;-&quot;_);_(@_)"/>
    <numFmt numFmtId="168" formatCode="0.0%"/>
    <numFmt numFmtId="169" formatCode="&quot;Iterations&quot;;&quot;Iterations&quot;;&quot;Iterations&quot;;&quot;Iterations&quot;"/>
  </numFmts>
  <fonts count="12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8" tint="0.39997558519241921"/>
      <name val="Arial"/>
      <family val="2"/>
    </font>
    <font>
      <sz val="11"/>
      <color theme="4" tint="0.59999389629810485"/>
      <name val="Arial"/>
      <family val="2"/>
    </font>
    <font>
      <b/>
      <u/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1" fillId="0" borderId="0"/>
  </cellStyleXfs>
  <cellXfs count="43">
    <xf numFmtId="0" fontId="0" fillId="0" borderId="0" xfId="0"/>
    <xf numFmtId="0" fontId="11" fillId="0" borderId="0" xfId="1"/>
    <xf numFmtId="0" fontId="11" fillId="0" borderId="1" xfId="1" applyBorder="1" applyAlignment="1">
      <alignment wrapText="1"/>
    </xf>
    <xf numFmtId="0" fontId="11" fillId="0" borderId="1" xfId="1" applyBorder="1"/>
    <xf numFmtId="0" fontId="4" fillId="3" borderId="0" xfId="1" applyFont="1" applyFill="1"/>
    <xf numFmtId="0" fontId="11" fillId="3" borderId="0" xfId="1" applyFill="1"/>
    <xf numFmtId="0" fontId="6" fillId="4" borderId="2" xfId="1" applyFont="1" applyFill="1" applyBorder="1"/>
    <xf numFmtId="0" fontId="5" fillId="4" borderId="0" xfId="1" applyFont="1" applyFill="1"/>
    <xf numFmtId="0" fontId="5" fillId="3" borderId="1" xfId="1" applyFont="1" applyFill="1" applyBorder="1" applyAlignment="1">
      <alignment horizontal="center" wrapText="1"/>
    </xf>
    <xf numFmtId="0" fontId="5" fillId="3" borderId="0" xfId="1" applyFont="1" applyFill="1"/>
    <xf numFmtId="0" fontId="11" fillId="3" borderId="0" xfId="1" applyFill="1" applyAlignment="1">
      <alignment horizontal="left" indent="1"/>
    </xf>
    <xf numFmtId="164" fontId="11" fillId="3" borderId="1" xfId="1" applyNumberFormat="1" applyFill="1" applyBorder="1"/>
    <xf numFmtId="0" fontId="11" fillId="4" borderId="0" xfId="1" applyFill="1"/>
    <xf numFmtId="0" fontId="11" fillId="3" borderId="1" xfId="1" applyFill="1" applyBorder="1"/>
    <xf numFmtId="165" fontId="11" fillId="4" borderId="0" xfId="1" applyNumberFormat="1" applyFill="1"/>
    <xf numFmtId="0" fontId="11" fillId="4" borderId="0" xfId="1" applyFill="1" applyAlignment="1">
      <alignment horizontal="left" indent="1"/>
    </xf>
    <xf numFmtId="165" fontId="11" fillId="4" borderId="3" xfId="1" applyNumberFormat="1" applyFill="1" applyBorder="1"/>
    <xf numFmtId="166" fontId="11" fillId="3" borderId="0" xfId="1" applyNumberFormat="1" applyFill="1"/>
    <xf numFmtId="166" fontId="11" fillId="3" borderId="1" xfId="1" applyNumberFormat="1" applyFill="1" applyBorder="1"/>
    <xf numFmtId="167" fontId="11" fillId="4" borderId="0" xfId="1" applyNumberFormat="1" applyFill="1"/>
    <xf numFmtId="167" fontId="11" fillId="4" borderId="3" xfId="1" applyNumberFormat="1" applyFill="1" applyBorder="1"/>
    <xf numFmtId="10" fontId="11" fillId="3" borderId="1" xfId="1" applyNumberFormat="1" applyFill="1" applyBorder="1"/>
    <xf numFmtId="14" fontId="10" fillId="0" borderId="0" xfId="1" applyNumberFormat="1" applyFont="1"/>
    <xf numFmtId="0" fontId="11" fillId="4" borderId="5" xfId="1" applyFill="1" applyBorder="1"/>
    <xf numFmtId="0" fontId="5" fillId="0" borderId="1" xfId="1" applyFont="1" applyBorder="1"/>
    <xf numFmtId="0" fontId="11" fillId="0" borderId="1" xfId="1" applyBorder="1" applyAlignment="1">
      <alignment horizontal="center"/>
    </xf>
    <xf numFmtId="0" fontId="11" fillId="0" borderId="1" xfId="1" applyBorder="1" applyAlignment="1">
      <alignment horizontal="center" wrapText="1"/>
    </xf>
    <xf numFmtId="3" fontId="11" fillId="0" borderId="1" xfId="1" applyNumberFormat="1" applyBorder="1"/>
    <xf numFmtId="9" fontId="11" fillId="0" borderId="0" xfId="1" applyNumberFormat="1"/>
    <xf numFmtId="9" fontId="11" fillId="0" borderId="1" xfId="1" applyNumberFormat="1" applyBorder="1"/>
    <xf numFmtId="168" fontId="11" fillId="5" borderId="1" xfId="1" applyNumberFormat="1" applyFill="1" applyBorder="1"/>
    <xf numFmtId="44" fontId="11" fillId="4" borderId="0" xfId="1" applyNumberFormat="1" applyFill="1"/>
    <xf numFmtId="38" fontId="11" fillId="0" borderId="1" xfId="1" applyNumberFormat="1" applyBorder="1"/>
    <xf numFmtId="168" fontId="11" fillId="0" borderId="1" xfId="1" applyNumberFormat="1" applyBorder="1"/>
    <xf numFmtId="169" fontId="11" fillId="0" borderId="1" xfId="1" applyNumberFormat="1" applyBorder="1"/>
    <xf numFmtId="0" fontId="7" fillId="4" borderId="0" xfId="1" applyFont="1" applyFill="1" applyAlignment="1">
      <alignment horizontal="center"/>
    </xf>
    <xf numFmtId="0" fontId="8" fillId="3" borderId="0" xfId="1" applyFont="1" applyFill="1" applyAlignment="1">
      <alignment horizontal="left"/>
    </xf>
    <xf numFmtId="0" fontId="8" fillId="3" borderId="4" xfId="1" applyFont="1" applyFill="1" applyBorder="1" applyAlignment="1">
      <alignment horizontal="left"/>
    </xf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 wrapText="1"/>
    </xf>
    <xf numFmtId="0" fontId="1" fillId="2" borderId="0" xfId="1" applyFont="1" applyFill="1" applyAlignment="1">
      <alignment horizontal="center"/>
    </xf>
    <xf numFmtId="0" fontId="11" fillId="0" borderId="1" xfId="1" applyBorder="1" applyAlignment="1">
      <alignment horizontal="center"/>
    </xf>
    <xf numFmtId="0" fontId="5" fillId="3" borderId="0" xfId="1" applyFont="1" applyFill="1" applyAlignment="1">
      <alignment horizontal="center"/>
    </xf>
  </cellXfs>
  <cellStyles count="2">
    <cellStyle name="Normal" xfId="0" builtinId="0"/>
    <cellStyle name="Normal#pfnQYTawpRfDCzl3QIWB53B2kapY2d/SQFMY5GOqsn8=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A5CA-E936-4611-BEA4-ED633448284D}">
  <dimension ref="A1:S66"/>
  <sheetViews>
    <sheetView tabSelected="1" zoomScale="68" zoomScaleNormal="55" workbookViewId="0">
      <selection activeCell="A2" sqref="A2:L2"/>
    </sheetView>
  </sheetViews>
  <sheetFormatPr defaultColWidth="9.109375" defaultRowHeight="14.4" x14ac:dyDescent="0.3"/>
  <cols>
    <col min="1" max="2" width="10.6640625" style="1" customWidth="1"/>
    <col min="3" max="4" width="12.6640625" style="1" customWidth="1"/>
    <col min="5" max="5" width="15" style="1" customWidth="1"/>
    <col min="6" max="7" width="12.6640625" style="1" customWidth="1"/>
    <col min="8" max="8" width="7.6640625" style="1" customWidth="1"/>
    <col min="9" max="9" width="17.5546875" style="1" customWidth="1"/>
    <col min="10" max="10" width="10.6640625" style="1" customWidth="1"/>
    <col min="11" max="11" width="13.21875" style="1" bestFit="1" customWidth="1"/>
    <col min="12" max="12" width="15.109375" style="1" bestFit="1" customWidth="1"/>
    <col min="13" max="13" width="9.109375" style="1"/>
    <col min="14" max="14" width="22.5546875" style="1" customWidth="1"/>
    <col min="15" max="15" width="14.88671875" style="1" customWidth="1"/>
    <col min="16" max="16" width="12.6640625" style="1" customWidth="1"/>
    <col min="17" max="16384" width="9.109375" style="1"/>
  </cols>
  <sheetData>
    <row r="1" spans="1:19" x14ac:dyDescent="0.3">
      <c r="A1" s="40" t="s">
        <v>49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N1" s="41" t="s">
        <v>0</v>
      </c>
      <c r="O1" s="41"/>
      <c r="P1" s="41"/>
      <c r="Q1" s="41"/>
      <c r="R1" s="41"/>
      <c r="S1" s="41"/>
    </row>
    <row r="2" spans="1:19" x14ac:dyDescent="0.3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N2" s="2" t="s">
        <v>2</v>
      </c>
      <c r="O2" s="3">
        <v>120</v>
      </c>
      <c r="P2" s="3">
        <v>130</v>
      </c>
      <c r="Q2" s="3">
        <v>140</v>
      </c>
      <c r="R2" s="3">
        <v>150</v>
      </c>
      <c r="S2" s="3">
        <v>160</v>
      </c>
    </row>
    <row r="3" spans="1:19" x14ac:dyDescent="0.3">
      <c r="A3" s="40" t="s">
        <v>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N3" s="2" t="s">
        <v>4</v>
      </c>
      <c r="O3" s="32">
        <f>AVERAGE(O17:O66)</f>
        <v>41696.526012499991</v>
      </c>
      <c r="P3" s="32">
        <f>AVERAGE(P17:P66)</f>
        <v>36209.097487499981</v>
      </c>
      <c r="Q3" s="32">
        <f t="shared" ref="Q3:S3" si="0">AVERAGE(Q17:Q66)</f>
        <v>23142.633600000005</v>
      </c>
      <c r="R3" s="32">
        <f t="shared" si="0"/>
        <v>12397.2629875</v>
      </c>
      <c r="S3" s="32">
        <f t="shared" si="0"/>
        <v>601.99351250000007</v>
      </c>
    </row>
    <row r="4" spans="1:19" x14ac:dyDescent="0.3">
      <c r="N4" s="2" t="s">
        <v>5</v>
      </c>
      <c r="O4" s="32">
        <f>_xlfn.STDEV.S(O17:O66)</f>
        <v>19621.93744034729</v>
      </c>
      <c r="P4" s="32">
        <f t="shared" ref="P4:S4" si="1">_xlfn.STDEV.S(P17:P66)</f>
        <v>14745.249469790739</v>
      </c>
      <c r="Q4" s="32">
        <f t="shared" si="1"/>
        <v>16057.628234976703</v>
      </c>
      <c r="R4" s="32">
        <f t="shared" si="1"/>
        <v>15985.179658113257</v>
      </c>
      <c r="S4" s="32">
        <f t="shared" si="1"/>
        <v>13657.235320532145</v>
      </c>
    </row>
    <row r="5" spans="1:19" ht="15" thickBot="1" x14ac:dyDescent="0.35">
      <c r="A5" s="4" t="s">
        <v>6</v>
      </c>
      <c r="B5" s="5"/>
      <c r="C5" s="42" t="s">
        <v>7</v>
      </c>
      <c r="D5" s="42"/>
      <c r="E5" s="42"/>
      <c r="F5" s="42"/>
      <c r="G5" s="42"/>
      <c r="I5" s="6" t="s">
        <v>8</v>
      </c>
      <c r="J5" s="7"/>
      <c r="K5" s="7"/>
      <c r="L5" s="7"/>
      <c r="N5" s="2" t="s">
        <v>9</v>
      </c>
      <c r="O5" s="32">
        <f>MAX(O17:O66)</f>
        <v>85615.881874999992</v>
      </c>
      <c r="P5" s="32">
        <f t="shared" ref="P5:S5" si="2">MAX(P17:P66)</f>
        <v>72137.881874999992</v>
      </c>
      <c r="Q5" s="32">
        <f t="shared" si="2"/>
        <v>50418.890625</v>
      </c>
      <c r="R5" s="32">
        <f t="shared" si="2"/>
        <v>45181.881874999999</v>
      </c>
      <c r="S5" s="32">
        <f t="shared" si="2"/>
        <v>24854.640625</v>
      </c>
    </row>
    <row r="6" spans="1:19" ht="27" x14ac:dyDescent="0.3">
      <c r="A6" s="5"/>
      <c r="B6" s="5"/>
      <c r="C6" s="8" t="s">
        <v>10</v>
      </c>
      <c r="D6" s="8" t="s">
        <v>11</v>
      </c>
      <c r="E6" s="8" t="s">
        <v>12</v>
      </c>
      <c r="F6" s="8" t="s">
        <v>13</v>
      </c>
      <c r="G6" s="8" t="s">
        <v>14</v>
      </c>
      <c r="I6" s="35"/>
      <c r="J6" s="35"/>
      <c r="K6" s="35"/>
      <c r="L6" s="35"/>
      <c r="N6" s="2" t="s">
        <v>15</v>
      </c>
      <c r="O6" s="32">
        <f>MIN(O17:O66)</f>
        <v>8768.2081249999992</v>
      </c>
      <c r="P6" s="32">
        <f t="shared" ref="P6:S6" si="3">MIN(P17:P66)</f>
        <v>842.55812500000002</v>
      </c>
      <c r="Q6" s="32">
        <f t="shared" si="3"/>
        <v>-9669.75</v>
      </c>
      <c r="R6" s="32">
        <f t="shared" si="3"/>
        <v>-20489.75</v>
      </c>
      <c r="S6" s="32">
        <f t="shared" si="3"/>
        <v>-31309.75</v>
      </c>
    </row>
    <row r="7" spans="1:19" ht="28.8" x14ac:dyDescent="0.3">
      <c r="A7" s="9" t="s">
        <v>16</v>
      </c>
      <c r="B7" s="5"/>
      <c r="C7" s="5"/>
      <c r="D7" s="5"/>
      <c r="E7" s="5"/>
      <c r="F7" s="5"/>
      <c r="G7" s="5"/>
      <c r="I7" s="35"/>
      <c r="J7" s="35"/>
      <c r="K7" s="35"/>
      <c r="L7" s="35"/>
      <c r="N7" s="2" t="s">
        <v>17</v>
      </c>
      <c r="O7" s="33">
        <f>COUNTIF(O17:O66,"&gt;=0")/COUNT(O17:O66)</f>
        <v>1</v>
      </c>
      <c r="P7" s="33">
        <f t="shared" ref="P7:S7" si="4">COUNTIF(P17:P66,"&gt;=0")/COUNT(P17:P66)</f>
        <v>1</v>
      </c>
      <c r="Q7" s="33">
        <f t="shared" si="4"/>
        <v>0.96</v>
      </c>
      <c r="R7" s="33">
        <f t="shared" si="4"/>
        <v>0.8</v>
      </c>
      <c r="S7" s="33">
        <f t="shared" si="4"/>
        <v>0.52</v>
      </c>
    </row>
    <row r="8" spans="1:19" x14ac:dyDescent="0.3">
      <c r="A8" s="10" t="s">
        <v>18</v>
      </c>
      <c r="B8" s="5"/>
      <c r="C8" s="11">
        <f ca="1">(VLOOKUP(B37,E25:F34,2,TRUE))</f>
        <v>410</v>
      </c>
      <c r="D8" s="11">
        <f ca="1">ROUNDUP($C8*0.88,0)</f>
        <v>361</v>
      </c>
      <c r="E8" s="11">
        <f ca="1">ROUNDUP($C8*0.76,0)</f>
        <v>312</v>
      </c>
      <c r="F8" s="11">
        <f ca="1">ROUNDUP($C8*0.63,0)</f>
        <v>259</v>
      </c>
      <c r="G8" s="11">
        <f ca="1">ROUNDUP($C8*0.52,0)</f>
        <v>214</v>
      </c>
      <c r="I8" s="12" t="s">
        <v>19</v>
      </c>
      <c r="J8" s="12"/>
      <c r="K8" s="12"/>
      <c r="L8" s="12">
        <f ca="1">SUMPRODUCT(C8:G8,C9:G9)</f>
        <v>440214</v>
      </c>
    </row>
    <row r="9" spans="1:19" x14ac:dyDescent="0.3">
      <c r="A9" s="10" t="s">
        <v>20</v>
      </c>
      <c r="B9" s="5"/>
      <c r="C9" s="13">
        <v>262</v>
      </c>
      <c r="D9" s="13">
        <f>C9+8</f>
        <v>270</v>
      </c>
      <c r="E9" s="13">
        <f>D9+12</f>
        <v>282</v>
      </c>
      <c r="F9" s="13">
        <f>E9+20</f>
        <v>302</v>
      </c>
      <c r="G9" s="13">
        <f>F9+21</f>
        <v>323</v>
      </c>
      <c r="I9" s="12" t="s">
        <v>21</v>
      </c>
      <c r="J9" s="12"/>
      <c r="K9" s="12"/>
      <c r="L9" s="31">
        <f ca="1">-SUMPRODUCT(C8:G8,C11:G11)</f>
        <v>-207664</v>
      </c>
    </row>
    <row r="10" spans="1:19" x14ac:dyDescent="0.3">
      <c r="A10" s="9" t="s">
        <v>22</v>
      </c>
      <c r="B10" s="5"/>
      <c r="C10" s="5"/>
      <c r="D10" s="5"/>
      <c r="E10" s="5"/>
      <c r="F10" s="5"/>
      <c r="G10" s="5"/>
      <c r="I10" s="12" t="s">
        <v>23</v>
      </c>
      <c r="J10" s="12"/>
      <c r="K10" s="14"/>
      <c r="L10" s="14">
        <f ca="1">L8+L9</f>
        <v>232550</v>
      </c>
    </row>
    <row r="11" spans="1:19" x14ac:dyDescent="0.3">
      <c r="A11" s="10" t="s">
        <v>21</v>
      </c>
      <c r="B11" s="5"/>
      <c r="C11" s="13">
        <v>120</v>
      </c>
      <c r="D11" s="13">
        <f>C11+8</f>
        <v>128</v>
      </c>
      <c r="E11" s="13">
        <f t="shared" ref="E11:G11" si="5">D11+8</f>
        <v>136</v>
      </c>
      <c r="F11" s="13">
        <f t="shared" si="5"/>
        <v>144</v>
      </c>
      <c r="G11" s="13">
        <f t="shared" si="5"/>
        <v>152</v>
      </c>
      <c r="I11" s="12" t="s">
        <v>24</v>
      </c>
      <c r="J11" s="12"/>
      <c r="K11" s="14"/>
      <c r="L11" s="14"/>
    </row>
    <row r="12" spans="1:19" x14ac:dyDescent="0.3">
      <c r="A12" s="10" t="s">
        <v>25</v>
      </c>
      <c r="B12" s="5"/>
      <c r="C12" s="13">
        <v>9.5</v>
      </c>
      <c r="D12" s="13">
        <v>10.25</v>
      </c>
      <c r="E12" s="13">
        <v>11</v>
      </c>
      <c r="F12" s="13">
        <v>11.75</v>
      </c>
      <c r="G12" s="13">
        <v>14.5</v>
      </c>
      <c r="I12" s="15" t="s">
        <v>26</v>
      </c>
      <c r="J12" s="12"/>
      <c r="K12" s="14"/>
      <c r="L12" s="16">
        <f ca="1">-SUMPRODUCT(C8:G8,C12:G12)</f>
        <v>-17173.5</v>
      </c>
    </row>
    <row r="13" spans="1:19" x14ac:dyDescent="0.3">
      <c r="A13" s="9" t="s">
        <v>27</v>
      </c>
      <c r="B13" s="5"/>
      <c r="C13" s="5"/>
      <c r="D13" s="5"/>
      <c r="E13" s="5"/>
      <c r="F13" s="5"/>
      <c r="G13" s="5"/>
      <c r="I13" s="12" t="s">
        <v>28</v>
      </c>
      <c r="J13" s="12"/>
      <c r="K13" s="14"/>
      <c r="L13" s="14">
        <f ca="1">L10+L12</f>
        <v>215376.5</v>
      </c>
    </row>
    <row r="14" spans="1:19" x14ac:dyDescent="0.3">
      <c r="A14" s="10" t="s">
        <v>29</v>
      </c>
      <c r="B14" s="5"/>
      <c r="C14" s="17"/>
      <c r="D14" s="17"/>
      <c r="E14" s="17"/>
      <c r="F14" s="17"/>
      <c r="G14" s="18">
        <v>9900</v>
      </c>
      <c r="I14" s="12" t="s">
        <v>30</v>
      </c>
      <c r="J14" s="12"/>
      <c r="K14" s="14"/>
      <c r="L14" s="14"/>
    </row>
    <row r="15" spans="1:19" x14ac:dyDescent="0.3">
      <c r="A15" s="36" t="s">
        <v>50</v>
      </c>
      <c r="B15" s="36"/>
      <c r="C15" s="36"/>
      <c r="D15" s="36"/>
      <c r="E15" s="36"/>
      <c r="F15" s="37"/>
      <c r="G15" s="18">
        <v>17500</v>
      </c>
      <c r="I15" s="15" t="s">
        <v>29</v>
      </c>
      <c r="J15" s="12"/>
      <c r="K15" s="19">
        <f>-G14</f>
        <v>-9900</v>
      </c>
      <c r="L15" s="14"/>
      <c r="O15" s="38" t="s">
        <v>31</v>
      </c>
      <c r="P15" s="38"/>
      <c r="Q15" s="38"/>
      <c r="R15" s="38"/>
      <c r="S15" s="38"/>
    </row>
    <row r="16" spans="1:19" x14ac:dyDescent="0.3">
      <c r="A16" s="10" t="s">
        <v>32</v>
      </c>
      <c r="B16" s="5"/>
      <c r="C16" s="5"/>
      <c r="D16" s="5"/>
      <c r="E16" s="5"/>
      <c r="F16" s="17"/>
      <c r="G16" s="18">
        <v>81000</v>
      </c>
      <c r="I16" s="15" t="s">
        <v>33</v>
      </c>
      <c r="J16" s="12"/>
      <c r="K16" s="19">
        <f>-G15</f>
        <v>-17500</v>
      </c>
      <c r="L16" s="14"/>
      <c r="N16" s="34">
        <f ca="1">MarginalNetIncome</f>
        <v>56824.786249999997</v>
      </c>
      <c r="O16" s="32">
        <v>120</v>
      </c>
      <c r="P16" s="32">
        <v>130</v>
      </c>
      <c r="Q16" s="32">
        <v>140</v>
      </c>
      <c r="R16" s="32">
        <v>150</v>
      </c>
      <c r="S16" s="32">
        <v>160</v>
      </c>
    </row>
    <row r="17" spans="1:19" x14ac:dyDescent="0.3">
      <c r="A17" s="10" t="s">
        <v>34</v>
      </c>
      <c r="B17" s="5"/>
      <c r="C17" s="5"/>
      <c r="D17" s="5"/>
      <c r="E17" s="5"/>
      <c r="F17" s="17"/>
      <c r="G17" s="18">
        <v>29400</v>
      </c>
      <c r="I17" s="15" t="s">
        <v>32</v>
      </c>
      <c r="J17" s="12"/>
      <c r="K17" s="19">
        <f>-G16</f>
        <v>-81000</v>
      </c>
      <c r="L17" s="14"/>
      <c r="N17" s="3">
        <v>1</v>
      </c>
      <c r="O17" s="32">
        <f t="dataTable" ref="O17:S66" dt2D="1" dtr="1" r1="C11" r2="L25" ca="1"/>
        <v>37559.303749999999</v>
      </c>
      <c r="P17" s="32">
        <v>22284.114999999998</v>
      </c>
      <c r="Q17" s="32">
        <v>42270.377500000002</v>
      </c>
      <c r="R17" s="32">
        <v>30176.802499999998</v>
      </c>
      <c r="S17" s="32">
        <v>-8878</v>
      </c>
    </row>
    <row r="18" spans="1:19" x14ac:dyDescent="0.3">
      <c r="A18" s="9" t="s">
        <v>35</v>
      </c>
      <c r="B18" s="5"/>
      <c r="C18" s="5"/>
      <c r="D18" s="5"/>
      <c r="E18" s="5"/>
      <c r="F18" s="5"/>
      <c r="G18" s="5"/>
      <c r="I18" s="15" t="s">
        <v>36</v>
      </c>
      <c r="J18" s="12"/>
      <c r="K18" s="20">
        <f>-G17</f>
        <v>-29400</v>
      </c>
      <c r="L18" s="14"/>
      <c r="N18" s="3">
        <v>2</v>
      </c>
      <c r="O18" s="32">
        <v>66457.527499999997</v>
      </c>
      <c r="P18" s="32">
        <v>63201.015625</v>
      </c>
      <c r="Q18" s="32">
        <v>25788.394999999997</v>
      </c>
      <c r="R18" s="32">
        <v>15086.57</v>
      </c>
      <c r="S18" s="32">
        <v>-8878</v>
      </c>
    </row>
    <row r="19" spans="1:19" x14ac:dyDescent="0.3">
      <c r="A19" s="10" t="s">
        <v>37</v>
      </c>
      <c r="B19" s="5"/>
      <c r="C19" s="5"/>
      <c r="D19" s="5"/>
      <c r="E19" s="5"/>
      <c r="F19" s="5"/>
      <c r="G19" s="21">
        <v>0.26750000000000002</v>
      </c>
      <c r="I19" s="12" t="s">
        <v>38</v>
      </c>
      <c r="J19" s="12"/>
      <c r="K19" s="14"/>
      <c r="L19" s="16">
        <f>SUM(K15:K18)</f>
        <v>-137800</v>
      </c>
      <c r="N19" s="3">
        <v>3</v>
      </c>
      <c r="O19" s="32">
        <v>37559.303749999999</v>
      </c>
      <c r="P19" s="32">
        <v>36490.22</v>
      </c>
      <c r="Q19" s="32">
        <v>25788.394999999997</v>
      </c>
      <c r="R19" s="32">
        <v>15086.57</v>
      </c>
      <c r="S19" s="32">
        <v>-21959.25</v>
      </c>
    </row>
    <row r="20" spans="1:19" x14ac:dyDescent="0.3">
      <c r="A20" s="22">
        <v>43898</v>
      </c>
      <c r="I20" s="12" t="s">
        <v>39</v>
      </c>
      <c r="J20" s="12"/>
      <c r="K20" s="14"/>
      <c r="L20" s="14">
        <f ca="1">L13+L19</f>
        <v>77576.5</v>
      </c>
      <c r="N20" s="3">
        <v>4</v>
      </c>
      <c r="O20" s="32">
        <v>56824.786249999997</v>
      </c>
      <c r="P20" s="32">
        <v>27553.353750000002</v>
      </c>
      <c r="Q20" s="32">
        <v>42270.377500000002</v>
      </c>
      <c r="R20" s="32">
        <v>45181.881874999999</v>
      </c>
      <c r="S20" s="32">
        <v>11233.98625</v>
      </c>
    </row>
    <row r="21" spans="1:19" x14ac:dyDescent="0.3">
      <c r="I21" s="12" t="s">
        <v>40</v>
      </c>
      <c r="J21" s="12"/>
      <c r="K21" s="14"/>
      <c r="L21" s="14">
        <f ca="1">IF(L20&gt;=0,-L20*G19,0)</f>
        <v>-20751.713750000003</v>
      </c>
      <c r="N21" s="3">
        <v>5</v>
      </c>
      <c r="O21" s="32">
        <v>37559.303749999999</v>
      </c>
      <c r="P21" s="32">
        <v>36490.22</v>
      </c>
      <c r="Q21" s="32">
        <v>5916.9518749999997</v>
      </c>
      <c r="R21" s="32">
        <v>15086.57</v>
      </c>
      <c r="S21" s="32">
        <v>-3364.5</v>
      </c>
    </row>
    <row r="22" spans="1:19" ht="26.25" customHeight="1" thickBot="1" x14ac:dyDescent="0.35">
      <c r="I22" s="12" t="s">
        <v>41</v>
      </c>
      <c r="J22" s="12"/>
      <c r="K22" s="12"/>
      <c r="L22" s="23">
        <f ca="1">L20+L21</f>
        <v>56824.786249999997</v>
      </c>
      <c r="N22" s="3">
        <v>6</v>
      </c>
      <c r="O22" s="32">
        <v>37559.303749999999</v>
      </c>
      <c r="P22" s="32">
        <v>22284.114999999998</v>
      </c>
      <c r="Q22" s="32">
        <v>42270.377500000002</v>
      </c>
      <c r="R22" s="32">
        <v>15086.57</v>
      </c>
      <c r="S22" s="32">
        <v>-8878</v>
      </c>
    </row>
    <row r="23" spans="1:19" ht="13.95" customHeight="1" thickTop="1" x14ac:dyDescent="0.3">
      <c r="A23" s="39" t="s">
        <v>42</v>
      </c>
      <c r="B23" s="39"/>
      <c r="E23" s="24" t="s">
        <v>43</v>
      </c>
      <c r="F23" s="3"/>
      <c r="N23" s="3">
        <v>7</v>
      </c>
      <c r="O23" s="32">
        <v>23965.751875000002</v>
      </c>
      <c r="P23" s="32">
        <v>54363.952499999999</v>
      </c>
      <c r="Q23" s="32">
        <v>34029.386249999996</v>
      </c>
      <c r="R23" s="32">
        <v>22631.686249999999</v>
      </c>
      <c r="S23" s="32">
        <v>-3364.5</v>
      </c>
    </row>
    <row r="24" spans="1:19" ht="28.8" x14ac:dyDescent="0.3">
      <c r="A24" s="25" t="s">
        <v>44</v>
      </c>
      <c r="B24" s="26" t="s">
        <v>45</v>
      </c>
      <c r="E24" s="26" t="s">
        <v>46</v>
      </c>
      <c r="F24" s="26" t="s">
        <v>47</v>
      </c>
      <c r="N24" s="3">
        <v>8</v>
      </c>
      <c r="O24" s="32">
        <v>8768.2081249999992</v>
      </c>
      <c r="P24" s="32">
        <v>22284.114999999998</v>
      </c>
      <c r="Q24" s="32">
        <v>34029.386249999996</v>
      </c>
      <c r="R24" s="32">
        <v>15086.57</v>
      </c>
      <c r="S24" s="32">
        <v>18083.227500000001</v>
      </c>
    </row>
    <row r="25" spans="1:19" x14ac:dyDescent="0.3">
      <c r="A25" s="27">
        <v>285</v>
      </c>
      <c r="B25" s="3">
        <v>0.04</v>
      </c>
      <c r="E25" s="29">
        <v>0</v>
      </c>
      <c r="F25" s="27">
        <f>A25</f>
        <v>285</v>
      </c>
      <c r="N25" s="3">
        <v>9</v>
      </c>
      <c r="O25" s="32">
        <v>56824.786249999997</v>
      </c>
      <c r="P25" s="32">
        <v>36490.22</v>
      </c>
      <c r="Q25" s="32">
        <v>5916.9518749999997</v>
      </c>
      <c r="R25" s="32">
        <v>7541.4537499999997</v>
      </c>
      <c r="S25" s="32">
        <v>-31309.75</v>
      </c>
    </row>
    <row r="26" spans="1:19" x14ac:dyDescent="0.3">
      <c r="A26" s="27">
        <v>310</v>
      </c>
      <c r="B26" s="3">
        <v>0.06</v>
      </c>
      <c r="E26" s="29">
        <f>B25+E25</f>
        <v>0.04</v>
      </c>
      <c r="F26" s="27">
        <f t="shared" ref="F26:F34" si="6">A26</f>
        <v>310</v>
      </c>
      <c r="N26" s="3">
        <v>10</v>
      </c>
      <c r="O26" s="32">
        <v>85615.881874999992</v>
      </c>
      <c r="P26" s="32">
        <v>27553.353750000002</v>
      </c>
      <c r="Q26" s="32">
        <v>5916.9518749999997</v>
      </c>
      <c r="R26" s="32">
        <v>7541.4537499999997</v>
      </c>
      <c r="S26" s="32">
        <v>4384.7449999999999</v>
      </c>
    </row>
    <row r="27" spans="1:19" x14ac:dyDescent="0.3">
      <c r="A27" s="27">
        <v>325</v>
      </c>
      <c r="B27" s="3">
        <v>0.08</v>
      </c>
      <c r="E27" s="29">
        <f>B26+E26</f>
        <v>0.1</v>
      </c>
      <c r="F27" s="27">
        <f t="shared" si="6"/>
        <v>325</v>
      </c>
      <c r="N27" s="3">
        <v>11</v>
      </c>
      <c r="O27" s="32">
        <v>31879.864999999998</v>
      </c>
      <c r="P27" s="32">
        <v>45427.08625</v>
      </c>
      <c r="Q27" s="32">
        <v>42270.377500000002</v>
      </c>
      <c r="R27" s="32">
        <v>15086.57</v>
      </c>
      <c r="S27" s="32">
        <v>4384.7449999999999</v>
      </c>
    </row>
    <row r="28" spans="1:19" x14ac:dyDescent="0.3">
      <c r="A28" s="27">
        <v>345</v>
      </c>
      <c r="B28" s="3">
        <v>0.1</v>
      </c>
      <c r="E28" s="29">
        <f t="shared" ref="E28:E34" si="7">B27+E27</f>
        <v>0.18</v>
      </c>
      <c r="F28" s="27">
        <f t="shared" si="6"/>
        <v>345</v>
      </c>
      <c r="N28" s="3">
        <v>12</v>
      </c>
      <c r="O28" s="32">
        <v>37559.303749999999</v>
      </c>
      <c r="P28" s="32">
        <v>22284.114999999998</v>
      </c>
      <c r="Q28" s="32">
        <v>5916.9518749999997</v>
      </c>
      <c r="R28" s="32">
        <v>7541.4537499999997</v>
      </c>
      <c r="S28" s="32">
        <v>4384.7449999999999</v>
      </c>
    </row>
    <row r="29" spans="1:19" x14ac:dyDescent="0.3">
      <c r="A29" s="27">
        <v>360</v>
      </c>
      <c r="B29" s="3">
        <v>0.15</v>
      </c>
      <c r="E29" s="29">
        <f t="shared" si="7"/>
        <v>0.28000000000000003</v>
      </c>
      <c r="F29" s="27">
        <f t="shared" si="6"/>
        <v>360</v>
      </c>
      <c r="N29" s="3">
        <v>13</v>
      </c>
      <c r="O29" s="32">
        <v>31879.864999999998</v>
      </c>
      <c r="P29" s="32">
        <v>45427.08625</v>
      </c>
      <c r="Q29" s="32">
        <v>34029.386249999996</v>
      </c>
      <c r="R29" s="32">
        <v>-10189.25</v>
      </c>
      <c r="S29" s="32">
        <v>11233.98625</v>
      </c>
    </row>
    <row r="30" spans="1:19" x14ac:dyDescent="0.3">
      <c r="A30" s="27">
        <v>385</v>
      </c>
      <c r="B30" s="3">
        <v>0.19</v>
      </c>
      <c r="E30" s="29">
        <f t="shared" si="7"/>
        <v>0.43000000000000005</v>
      </c>
      <c r="F30" s="27">
        <f t="shared" si="6"/>
        <v>385</v>
      </c>
      <c r="N30" s="3">
        <v>14</v>
      </c>
      <c r="O30" s="32">
        <v>47192.044999999998</v>
      </c>
      <c r="P30" s="32">
        <v>27553.353750000002</v>
      </c>
      <c r="Q30" s="32">
        <v>42270.377500000002</v>
      </c>
      <c r="R30" s="32">
        <v>30176.802499999998</v>
      </c>
      <c r="S30" s="32">
        <v>18083.227500000001</v>
      </c>
    </row>
    <row r="31" spans="1:19" x14ac:dyDescent="0.3">
      <c r="A31" s="3">
        <v>410</v>
      </c>
      <c r="B31" s="3">
        <v>0.18</v>
      </c>
      <c r="E31" s="29">
        <f t="shared" si="7"/>
        <v>0.62000000000000011</v>
      </c>
      <c r="F31" s="27">
        <f t="shared" si="6"/>
        <v>410</v>
      </c>
      <c r="N31" s="3">
        <v>15</v>
      </c>
      <c r="O31" s="32">
        <v>47192.044999999998</v>
      </c>
      <c r="P31" s="32">
        <v>36490.22</v>
      </c>
      <c r="Q31" s="32">
        <v>5916.9518749999997</v>
      </c>
      <c r="R31" s="32">
        <v>15086.57</v>
      </c>
      <c r="S31" s="32">
        <v>4384.7449999999999</v>
      </c>
    </row>
    <row r="32" spans="1:19" x14ac:dyDescent="0.3">
      <c r="A32" s="3">
        <v>435</v>
      </c>
      <c r="B32" s="3">
        <v>0.12</v>
      </c>
      <c r="E32" s="29">
        <f t="shared" si="7"/>
        <v>0.8</v>
      </c>
      <c r="F32" s="27">
        <f t="shared" si="6"/>
        <v>435</v>
      </c>
      <c r="N32" s="3">
        <v>16</v>
      </c>
      <c r="O32" s="32">
        <v>8768.2081249999992</v>
      </c>
      <c r="P32" s="32">
        <v>36490.22</v>
      </c>
      <c r="Q32" s="32">
        <v>42270.377500000002</v>
      </c>
      <c r="R32" s="32">
        <v>-20489.75</v>
      </c>
      <c r="S32" s="32">
        <v>-3364.5</v>
      </c>
    </row>
    <row r="33" spans="1:19" x14ac:dyDescent="0.3">
      <c r="A33" s="3">
        <v>460</v>
      </c>
      <c r="B33" s="3">
        <v>0.05</v>
      </c>
      <c r="E33" s="29">
        <f t="shared" si="7"/>
        <v>0.92</v>
      </c>
      <c r="F33" s="27">
        <f t="shared" si="6"/>
        <v>460</v>
      </c>
      <c r="N33" s="3">
        <v>17</v>
      </c>
      <c r="O33" s="32">
        <v>47192.044999999998</v>
      </c>
      <c r="P33" s="32">
        <v>14941.351875</v>
      </c>
      <c r="Q33" s="32">
        <v>50418.890625</v>
      </c>
      <c r="R33" s="32">
        <v>7541.4537499999997</v>
      </c>
      <c r="S33" s="32">
        <v>-16562.25</v>
      </c>
    </row>
    <row r="34" spans="1:19" x14ac:dyDescent="0.3">
      <c r="A34" s="3">
        <v>485</v>
      </c>
      <c r="B34" s="3">
        <v>0.03</v>
      </c>
      <c r="E34" s="29">
        <f t="shared" si="7"/>
        <v>0.97000000000000008</v>
      </c>
      <c r="F34" s="27">
        <f t="shared" si="6"/>
        <v>485</v>
      </c>
      <c r="N34" s="3">
        <v>18</v>
      </c>
      <c r="O34" s="32">
        <v>8768.2081249999992</v>
      </c>
      <c r="P34" s="32">
        <v>22284.114999999998</v>
      </c>
      <c r="Q34" s="32">
        <v>17547.403749999998</v>
      </c>
      <c r="R34" s="32">
        <v>15086.57</v>
      </c>
      <c r="S34" s="32">
        <v>18083.227500000001</v>
      </c>
    </row>
    <row r="35" spans="1:19" x14ac:dyDescent="0.3">
      <c r="B35" s="28">
        <f>SUM(B25:B34)</f>
        <v>1</v>
      </c>
      <c r="N35" s="3">
        <v>19</v>
      </c>
      <c r="O35" s="32">
        <v>37559.303749999999</v>
      </c>
      <c r="P35" s="32">
        <v>22284.114999999998</v>
      </c>
      <c r="Q35" s="32">
        <v>17547.403749999998</v>
      </c>
      <c r="R35" s="32">
        <v>-10189.25</v>
      </c>
      <c r="S35" s="32">
        <v>24854.640625</v>
      </c>
    </row>
    <row r="36" spans="1:19" x14ac:dyDescent="0.3">
      <c r="N36" s="3">
        <v>20</v>
      </c>
      <c r="O36" s="32">
        <v>18400.949375</v>
      </c>
      <c r="P36" s="32">
        <v>72137.881874999992</v>
      </c>
      <c r="Q36" s="32">
        <v>1157.899375</v>
      </c>
      <c r="R36" s="32">
        <v>30176.802499999998</v>
      </c>
      <c r="S36" s="32">
        <v>-3364.5</v>
      </c>
    </row>
    <row r="37" spans="1:19" ht="28.8" x14ac:dyDescent="0.3">
      <c r="A37" s="26" t="s">
        <v>48</v>
      </c>
      <c r="B37" s="30">
        <f ca="1">RAND()</f>
        <v>0.68473426058995723</v>
      </c>
      <c r="N37" s="3">
        <v>21</v>
      </c>
      <c r="O37" s="32">
        <v>23965.751875000002</v>
      </c>
      <c r="P37" s="32">
        <v>36490.22</v>
      </c>
      <c r="Q37" s="32">
        <v>-9669.75</v>
      </c>
      <c r="R37" s="32">
        <v>30176.802499999998</v>
      </c>
      <c r="S37" s="32">
        <v>4384.7449999999999</v>
      </c>
    </row>
    <row r="38" spans="1:19" x14ac:dyDescent="0.3">
      <c r="N38" s="3">
        <v>22</v>
      </c>
      <c r="O38" s="32">
        <v>37559.303749999999</v>
      </c>
      <c r="P38" s="32">
        <v>22284.114999999998</v>
      </c>
      <c r="Q38" s="32">
        <v>25788.394999999997</v>
      </c>
      <c r="R38" s="32">
        <v>-4242.25</v>
      </c>
      <c r="S38" s="32">
        <v>-3364.5</v>
      </c>
    </row>
    <row r="39" spans="1:19" x14ac:dyDescent="0.3">
      <c r="N39" s="3">
        <v>23</v>
      </c>
      <c r="O39" s="32">
        <v>56824.786249999997</v>
      </c>
      <c r="P39" s="32">
        <v>54363.952499999999</v>
      </c>
      <c r="Q39" s="32">
        <v>17547.403749999998</v>
      </c>
      <c r="R39" s="32">
        <v>3092.6149999999998</v>
      </c>
      <c r="S39" s="32">
        <v>-3364.5</v>
      </c>
    </row>
    <row r="40" spans="1:19" x14ac:dyDescent="0.3">
      <c r="N40" s="3">
        <v>24</v>
      </c>
      <c r="O40" s="32">
        <v>85615.881874999992</v>
      </c>
      <c r="P40" s="32">
        <v>27553.353750000002</v>
      </c>
      <c r="Q40" s="32">
        <v>1157.899375</v>
      </c>
      <c r="R40" s="32">
        <v>7541.4537499999997</v>
      </c>
      <c r="S40" s="32">
        <v>4384.7449999999999</v>
      </c>
    </row>
    <row r="41" spans="1:19" x14ac:dyDescent="0.3">
      <c r="N41" s="3">
        <v>25</v>
      </c>
      <c r="O41" s="32">
        <v>47192.044999999998</v>
      </c>
      <c r="P41" s="32">
        <v>36490.22</v>
      </c>
      <c r="Q41" s="32">
        <v>34029.386249999996</v>
      </c>
      <c r="R41" s="32">
        <v>22631.686249999999</v>
      </c>
      <c r="S41" s="32">
        <v>4384.7449999999999</v>
      </c>
    </row>
    <row r="42" spans="1:19" x14ac:dyDescent="0.3">
      <c r="N42" s="3">
        <v>26</v>
      </c>
      <c r="O42" s="32">
        <v>37559.303749999999</v>
      </c>
      <c r="P42" s="32">
        <v>45427.08625</v>
      </c>
      <c r="Q42" s="32">
        <v>5916.9518749999997</v>
      </c>
      <c r="R42" s="32">
        <v>7541.4537499999997</v>
      </c>
      <c r="S42" s="32">
        <v>4384.7449999999999</v>
      </c>
    </row>
    <row r="43" spans="1:19" x14ac:dyDescent="0.3">
      <c r="N43" s="3">
        <v>27</v>
      </c>
      <c r="O43" s="32">
        <v>31879.864999999998</v>
      </c>
      <c r="P43" s="32">
        <v>72137.881874999992</v>
      </c>
      <c r="Q43" s="32">
        <v>12688.365</v>
      </c>
      <c r="R43" s="32">
        <v>-20489.75</v>
      </c>
      <c r="S43" s="32">
        <v>24854.640625</v>
      </c>
    </row>
    <row r="44" spans="1:19" x14ac:dyDescent="0.3">
      <c r="N44" s="3">
        <v>28</v>
      </c>
      <c r="O44" s="32">
        <v>31879.864999999998</v>
      </c>
      <c r="P44" s="32">
        <v>27553.353750000002</v>
      </c>
      <c r="Q44" s="32">
        <v>25788.394999999997</v>
      </c>
      <c r="R44" s="32">
        <v>30176.802499999998</v>
      </c>
      <c r="S44" s="32">
        <v>-3364.5</v>
      </c>
    </row>
    <row r="45" spans="1:19" x14ac:dyDescent="0.3">
      <c r="N45" s="3">
        <v>29</v>
      </c>
      <c r="O45" s="32">
        <v>18400.949375</v>
      </c>
      <c r="P45" s="32">
        <v>36490.22</v>
      </c>
      <c r="Q45" s="32">
        <v>25788.394999999997</v>
      </c>
      <c r="R45" s="32">
        <v>22631.686249999999</v>
      </c>
      <c r="S45" s="32">
        <v>4384.7449999999999</v>
      </c>
    </row>
    <row r="46" spans="1:19" x14ac:dyDescent="0.3">
      <c r="N46" s="3">
        <v>30</v>
      </c>
      <c r="O46" s="32">
        <v>47192.044999999998</v>
      </c>
      <c r="P46" s="32">
        <v>27553.353750000002</v>
      </c>
      <c r="Q46" s="32">
        <v>34029.386249999996</v>
      </c>
      <c r="R46" s="32">
        <v>15086.57</v>
      </c>
      <c r="S46" s="32">
        <v>4384.7449999999999</v>
      </c>
    </row>
    <row r="47" spans="1:19" x14ac:dyDescent="0.3">
      <c r="N47" s="3">
        <v>31</v>
      </c>
      <c r="O47" s="32">
        <v>56824.786249999997</v>
      </c>
      <c r="P47" s="32">
        <v>842.55812500000002</v>
      </c>
      <c r="Q47" s="32">
        <v>25788.394999999997</v>
      </c>
      <c r="R47" s="32">
        <v>-20489.75</v>
      </c>
      <c r="S47" s="32">
        <v>11233.98625</v>
      </c>
    </row>
    <row r="48" spans="1:19" x14ac:dyDescent="0.3">
      <c r="N48" s="3">
        <v>32</v>
      </c>
      <c r="O48" s="32">
        <v>37559.303749999999</v>
      </c>
      <c r="P48" s="32">
        <v>22284.114999999998</v>
      </c>
      <c r="Q48" s="32">
        <v>42270.377500000002</v>
      </c>
      <c r="R48" s="32">
        <v>30176.802499999998</v>
      </c>
      <c r="S48" s="32">
        <v>24854.640625</v>
      </c>
    </row>
    <row r="49" spans="14:19" x14ac:dyDescent="0.3">
      <c r="N49" s="3">
        <v>33</v>
      </c>
      <c r="O49" s="32">
        <v>8768.2081249999992</v>
      </c>
      <c r="P49" s="32">
        <v>27553.353750000002</v>
      </c>
      <c r="Q49" s="32">
        <v>17547.403749999998</v>
      </c>
      <c r="R49" s="32">
        <v>-10189.25</v>
      </c>
      <c r="S49" s="32">
        <v>-3364.5</v>
      </c>
    </row>
    <row r="50" spans="14:19" x14ac:dyDescent="0.3">
      <c r="N50" s="3">
        <v>34</v>
      </c>
      <c r="O50" s="32">
        <v>75983.140625</v>
      </c>
      <c r="P50" s="32">
        <v>45427.08625</v>
      </c>
      <c r="Q50" s="32">
        <v>34029.386249999996</v>
      </c>
      <c r="R50" s="32">
        <v>37636.765625</v>
      </c>
      <c r="S50" s="32">
        <v>-8878</v>
      </c>
    </row>
    <row r="51" spans="14:19" x14ac:dyDescent="0.3">
      <c r="N51" s="3">
        <v>35</v>
      </c>
      <c r="O51" s="32">
        <v>56824.786249999997</v>
      </c>
      <c r="P51" s="32">
        <v>45427.08625</v>
      </c>
      <c r="Q51" s="32">
        <v>1157.899375</v>
      </c>
      <c r="R51" s="32">
        <v>7541.4537499999997</v>
      </c>
      <c r="S51" s="32">
        <v>-3364.5</v>
      </c>
    </row>
    <row r="52" spans="14:19" x14ac:dyDescent="0.3">
      <c r="N52" s="3">
        <v>36</v>
      </c>
      <c r="O52" s="32">
        <v>66457.527499999997</v>
      </c>
      <c r="P52" s="32">
        <v>45427.08625</v>
      </c>
      <c r="Q52" s="32">
        <v>5916.9518749999997</v>
      </c>
      <c r="R52" s="32">
        <v>-10189.25</v>
      </c>
      <c r="S52" s="32">
        <v>11233.98625</v>
      </c>
    </row>
    <row r="53" spans="14:19" x14ac:dyDescent="0.3">
      <c r="N53" s="3">
        <v>37</v>
      </c>
      <c r="O53" s="32">
        <v>47192.044999999998</v>
      </c>
      <c r="P53" s="32">
        <v>63201.015625</v>
      </c>
      <c r="Q53" s="32">
        <v>34029.386249999996</v>
      </c>
      <c r="R53" s="32">
        <v>30176.802499999998</v>
      </c>
      <c r="S53" s="32">
        <v>11233.98625</v>
      </c>
    </row>
    <row r="54" spans="14:19" x14ac:dyDescent="0.3">
      <c r="N54" s="3">
        <v>38</v>
      </c>
      <c r="O54" s="32">
        <v>56824.786249999997</v>
      </c>
      <c r="P54" s="32">
        <v>36490.22</v>
      </c>
      <c r="Q54" s="32">
        <v>50418.890625</v>
      </c>
      <c r="R54" s="32">
        <v>7541.4537499999997</v>
      </c>
      <c r="S54" s="32">
        <v>-3364.5</v>
      </c>
    </row>
    <row r="55" spans="14:19" x14ac:dyDescent="0.3">
      <c r="N55" s="3">
        <v>39</v>
      </c>
      <c r="O55" s="32">
        <v>37559.303749999999</v>
      </c>
      <c r="P55" s="32">
        <v>45427.08625</v>
      </c>
      <c r="Q55" s="32">
        <v>-9669.75</v>
      </c>
      <c r="R55" s="32">
        <v>3092.6149999999998</v>
      </c>
      <c r="S55" s="32">
        <v>18083.227500000001</v>
      </c>
    </row>
    <row r="56" spans="14:19" x14ac:dyDescent="0.3">
      <c r="N56" s="3">
        <v>40</v>
      </c>
      <c r="O56" s="32">
        <v>18400.949375</v>
      </c>
      <c r="P56" s="32">
        <v>45427.08625</v>
      </c>
      <c r="Q56" s="32">
        <v>17547.403749999998</v>
      </c>
      <c r="R56" s="32">
        <v>-4242.25</v>
      </c>
      <c r="S56" s="32">
        <v>-8878</v>
      </c>
    </row>
    <row r="57" spans="14:19" x14ac:dyDescent="0.3">
      <c r="N57" s="3">
        <v>41</v>
      </c>
      <c r="O57" s="32">
        <v>8768.2081249999992</v>
      </c>
      <c r="P57" s="32">
        <v>36490.22</v>
      </c>
      <c r="Q57" s="32">
        <v>34029.386249999996</v>
      </c>
      <c r="R57" s="32">
        <v>30176.802499999998</v>
      </c>
      <c r="S57" s="32">
        <v>-21959.25</v>
      </c>
    </row>
    <row r="58" spans="14:19" x14ac:dyDescent="0.3">
      <c r="N58" s="3">
        <v>42</v>
      </c>
      <c r="O58" s="32">
        <v>66457.527499999997</v>
      </c>
      <c r="P58" s="32">
        <v>54363.952499999999</v>
      </c>
      <c r="Q58" s="32">
        <v>42270.377500000002</v>
      </c>
      <c r="R58" s="32">
        <v>3092.6149999999998</v>
      </c>
      <c r="S58" s="32">
        <v>4384.7449999999999</v>
      </c>
    </row>
    <row r="59" spans="14:19" x14ac:dyDescent="0.3">
      <c r="N59" s="3">
        <v>43</v>
      </c>
      <c r="O59" s="32">
        <v>56824.786249999997</v>
      </c>
      <c r="P59" s="32">
        <v>27553.353750000002</v>
      </c>
      <c r="Q59" s="32">
        <v>25788.394999999997</v>
      </c>
      <c r="R59" s="32">
        <v>37636.765625</v>
      </c>
      <c r="S59" s="32">
        <v>-8878</v>
      </c>
    </row>
    <row r="60" spans="14:19" x14ac:dyDescent="0.3">
      <c r="N60" s="3">
        <v>44</v>
      </c>
      <c r="O60" s="32">
        <v>23965.751875000002</v>
      </c>
      <c r="P60" s="32">
        <v>54363.952499999999</v>
      </c>
      <c r="Q60" s="32">
        <v>34029.386249999996</v>
      </c>
      <c r="R60" s="32">
        <v>7541.4537499999997</v>
      </c>
      <c r="S60" s="32">
        <v>18083.227500000001</v>
      </c>
    </row>
    <row r="61" spans="14:19" x14ac:dyDescent="0.3">
      <c r="N61" s="3">
        <v>45</v>
      </c>
      <c r="O61" s="32">
        <v>37559.303749999999</v>
      </c>
      <c r="P61" s="32">
        <v>27553.353750000002</v>
      </c>
      <c r="Q61" s="32">
        <v>12688.365</v>
      </c>
      <c r="R61" s="32">
        <v>22631.686249999999</v>
      </c>
      <c r="S61" s="32">
        <v>4384.7449999999999</v>
      </c>
    </row>
    <row r="62" spans="14:19" x14ac:dyDescent="0.3">
      <c r="N62" s="3">
        <v>46</v>
      </c>
      <c r="O62" s="32">
        <v>56824.786249999997</v>
      </c>
      <c r="P62" s="32">
        <v>45427.08625</v>
      </c>
      <c r="Q62" s="32">
        <v>5916.9518749999997</v>
      </c>
      <c r="R62" s="32">
        <v>22631.686249999999</v>
      </c>
      <c r="S62" s="32">
        <v>-3364.5</v>
      </c>
    </row>
    <row r="63" spans="14:19" x14ac:dyDescent="0.3">
      <c r="N63" s="3">
        <v>47</v>
      </c>
      <c r="O63" s="32">
        <v>66457.527499999997</v>
      </c>
      <c r="P63" s="32">
        <v>27553.353750000002</v>
      </c>
      <c r="Q63" s="32">
        <v>34029.386249999996</v>
      </c>
      <c r="R63" s="32">
        <v>-10189.25</v>
      </c>
      <c r="S63" s="32">
        <v>4384.7449999999999</v>
      </c>
    </row>
    <row r="64" spans="14:19" x14ac:dyDescent="0.3">
      <c r="N64" s="3">
        <v>48</v>
      </c>
      <c r="O64" s="32">
        <v>56824.786249999997</v>
      </c>
      <c r="P64" s="32">
        <v>14941.351875</v>
      </c>
      <c r="Q64" s="32">
        <v>34029.386249999996</v>
      </c>
      <c r="R64" s="32">
        <v>7541.4537499999997</v>
      </c>
      <c r="S64" s="32">
        <v>-31309.75</v>
      </c>
    </row>
    <row r="65" spans="14:19" x14ac:dyDescent="0.3">
      <c r="N65" s="3">
        <v>49</v>
      </c>
      <c r="O65" s="32">
        <v>18400.949375</v>
      </c>
      <c r="P65" s="32">
        <v>36490.22</v>
      </c>
      <c r="Q65" s="32">
        <v>1157.899375</v>
      </c>
      <c r="R65" s="32">
        <v>22631.686249999999</v>
      </c>
      <c r="S65" s="32">
        <v>-3364.5</v>
      </c>
    </row>
    <row r="66" spans="14:19" x14ac:dyDescent="0.3">
      <c r="N66" s="3">
        <v>50</v>
      </c>
      <c r="O66" s="32">
        <v>47192.044999999998</v>
      </c>
      <c r="P66" s="32">
        <v>27553.353750000002</v>
      </c>
      <c r="Q66" s="32">
        <v>17547.403749999998</v>
      </c>
      <c r="R66" s="32">
        <v>22631.686249999999</v>
      </c>
      <c r="S66" s="32">
        <v>-31309.75</v>
      </c>
    </row>
  </sheetData>
  <mergeCells count="10">
    <mergeCell ref="I7:L7"/>
    <mergeCell ref="A15:F15"/>
    <mergeCell ref="O15:S15"/>
    <mergeCell ref="A23:B23"/>
    <mergeCell ref="A1:L1"/>
    <mergeCell ref="N1:S1"/>
    <mergeCell ref="A2:L2"/>
    <mergeCell ref="A3:L3"/>
    <mergeCell ref="C5:G5"/>
    <mergeCell ref="I6:L6"/>
  </mergeCells>
  <conditionalFormatting sqref="O7:S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enna xmlns="http://customxml.org">
  <kers>zvn1CaKzz9eStY/rVx1TdvVJ1i/MNBiOy9zZarhUpVc=</kers>
  <massa>3/29/2024 5:01:30 PM</massa>
  <hamilton>true</hamilton>
</senna>
</file>

<file path=customXml/itemProps1.xml><?xml version="1.0" encoding="utf-8"?>
<ds:datastoreItem xmlns:ds="http://schemas.openxmlformats.org/officeDocument/2006/customXml" ds:itemID="{C7D9AB4E-A139-4F25-8FAB-9A740EDD7AD8}">
  <ds:schemaRefs>
    <ds:schemaRef ds:uri="http://customxml.org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Sod</vt:lpstr>
      <vt:lpstr>MarginalNetIncome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2020-07-13T18:25:18Z</dcterms:created>
  <dcterms:modified xsi:type="dcterms:W3CDTF">2024-04-18T09:13:40Z</dcterms:modified>
</cp:coreProperties>
</file>