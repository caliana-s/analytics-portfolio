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Users\calia\Downloads\Spreadsheets for Business- Spring 2024\Caliana Sunes Excel Projects\"/>
    </mc:Choice>
  </mc:AlternateContent>
  <xr:revisionPtr revIDLastSave="0" documentId="13_ncr:1_{3DEBBA38-600D-4A9D-A05D-A857955F8F05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Satisfaction Survey" sheetId="10" state="hidden" r:id="rId1"/>
    <sheet name="Average Ratings" sheetId="12" state="hidden" r:id="rId2"/>
    <sheet name="Criteria" sheetId="13" state="hidden" r:id="rId3"/>
    <sheet name="Shipment Times" sheetId="9" r:id="rId4"/>
    <sheet name="Inventory" sheetId="8" r:id="rId5"/>
    <sheet name="E-Mail" sheetId="7" state="hidden" r:id="rId6"/>
  </sheets>
  <definedNames>
    <definedName name="Inventory">Inventory!$A$3:$H$50</definedName>
    <definedName name="Survey">'Satisfaction Survey'!$A$4:$G$40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8" l="1" a="1"/>
  <c r="K6" i="8" s="1"/>
  <c r="F6" i="12" a="1"/>
  <c r="F6" i="12" s="1"/>
  <c r="F7" i="12" a="1"/>
  <c r="F7" i="12"/>
  <c r="F8" i="12" a="1"/>
  <c r="F8" i="12"/>
  <c r="F9" i="12" a="1"/>
  <c r="F9" i="12"/>
  <c r="F5" i="12" a="1"/>
  <c r="F5" i="12" s="1"/>
  <c r="E5" i="12"/>
  <c r="E6" i="12"/>
  <c r="E7" i="12"/>
  <c r="E8" i="12"/>
  <c r="E9" i="12"/>
  <c r="C6" i="12"/>
  <c r="D6" i="12"/>
  <c r="C7" i="12"/>
  <c r="D7" i="12"/>
  <c r="C8" i="12"/>
  <c r="D8" i="12"/>
  <c r="C9" i="12"/>
  <c r="D9" i="12"/>
  <c r="B9" i="12"/>
  <c r="B8" i="12"/>
  <c r="B7" i="12"/>
  <c r="B6" i="12"/>
  <c r="C5" i="12"/>
  <c r="D5" i="12"/>
  <c r="B5" i="12"/>
  <c r="L16" i="8"/>
  <c r="L14" i="8"/>
  <c r="L13" i="8"/>
  <c r="B7" i="9"/>
  <c r="C7" i="9" s="1"/>
  <c r="D7" i="9" s="1"/>
  <c r="B9" i="9"/>
  <c r="C9" i="9" s="1"/>
  <c r="E9" i="9" s="1"/>
  <c r="B11" i="9"/>
  <c r="B12" i="9" s="1"/>
  <c r="C12" i="9" s="1"/>
  <c r="D12" i="9" s="1"/>
  <c r="B13" i="9"/>
  <c r="B14" i="9" s="1"/>
  <c r="C14" i="9" s="1"/>
  <c r="D14" i="9" s="1"/>
  <c r="B15" i="9"/>
  <c r="B16" i="9" s="1"/>
  <c r="C16" i="9" s="1"/>
  <c r="E16" i="9" s="1"/>
  <c r="B17" i="9"/>
  <c r="B18" i="9" s="1"/>
  <c r="C18" i="9" s="1"/>
  <c r="D18" i="9" s="1"/>
  <c r="B19" i="9"/>
  <c r="B20" i="9" s="1"/>
  <c r="C20" i="9" s="1"/>
  <c r="D20" i="9" s="1"/>
  <c r="B21" i="9"/>
  <c r="B22" i="9" s="1"/>
  <c r="C22" i="9" s="1"/>
  <c r="D22" i="9" s="1"/>
  <c r="B23" i="9"/>
  <c r="B24" i="9" s="1"/>
  <c r="C24" i="9" s="1"/>
  <c r="D24" i="9" s="1"/>
  <c r="B25" i="9"/>
  <c r="B26" i="9" s="1"/>
  <c r="C26" i="9" s="1"/>
  <c r="D26" i="9" s="1"/>
  <c r="B27" i="9"/>
  <c r="B28" i="9" s="1"/>
  <c r="C28" i="9" s="1"/>
  <c r="D28" i="9" s="1"/>
  <c r="B29" i="9"/>
  <c r="B30" i="9" s="1"/>
  <c r="C30" i="9" s="1"/>
  <c r="D30" i="9" s="1"/>
  <c r="B31" i="9"/>
  <c r="B32" i="9" s="1"/>
  <c r="C32" i="9" s="1"/>
  <c r="D32" i="9" s="1"/>
  <c r="B33" i="9"/>
  <c r="B34" i="9" s="1"/>
  <c r="C34" i="9" s="1"/>
  <c r="D34" i="9" s="1"/>
  <c r="B35" i="9"/>
  <c r="B36" i="9" s="1"/>
  <c r="C36" i="9" s="1"/>
  <c r="D36" i="9" s="1"/>
  <c r="B37" i="9"/>
  <c r="B38" i="9" s="1"/>
  <c r="C38" i="9" s="1"/>
  <c r="D38" i="9" s="1"/>
  <c r="B39" i="9"/>
  <c r="B40" i="9" s="1"/>
  <c r="C40" i="9" s="1"/>
  <c r="D40" i="9" s="1"/>
  <c r="B5" i="9"/>
  <c r="B6" i="9" s="1"/>
  <c r="C6" i="9" s="1"/>
  <c r="D6" i="9" s="1"/>
  <c r="E40" i="9" l="1"/>
  <c r="E38" i="9"/>
  <c r="D16" i="9"/>
  <c r="E14" i="9"/>
  <c r="E36" i="9"/>
  <c r="E12" i="9"/>
  <c r="E28" i="9"/>
  <c r="E22" i="9"/>
  <c r="E20" i="9"/>
  <c r="D9" i="9"/>
  <c r="E32" i="9"/>
  <c r="E26" i="9"/>
  <c r="E30" i="9"/>
  <c r="E24" i="9"/>
  <c r="E18" i="9"/>
  <c r="E6" i="9"/>
  <c r="E34" i="9"/>
  <c r="E7" i="9"/>
  <c r="C37" i="9"/>
  <c r="C35" i="9"/>
  <c r="C25" i="9"/>
  <c r="C27" i="9"/>
  <c r="C21" i="9"/>
  <c r="C19" i="9"/>
  <c r="C33" i="9"/>
  <c r="C39" i="9"/>
  <c r="C31" i="9"/>
  <c r="C29" i="9"/>
  <c r="C23" i="9"/>
  <c r="C17" i="9"/>
  <c r="C13" i="9"/>
  <c r="C15" i="9"/>
  <c r="B10" i="9"/>
  <c r="C10" i="9" s="1"/>
  <c r="B8" i="9"/>
  <c r="C8" i="9" s="1"/>
  <c r="C11" i="9"/>
  <c r="C5" i="9"/>
  <c r="D10" i="9" l="1"/>
  <c r="E10" i="9"/>
  <c r="D25" i="9"/>
  <c r="E25" i="9"/>
  <c r="D15" i="9"/>
  <c r="E15" i="9"/>
  <c r="E35" i="9"/>
  <c r="D35" i="9"/>
  <c r="D13" i="9"/>
  <c r="E13" i="9"/>
  <c r="E23" i="9"/>
  <c r="D23" i="9"/>
  <c r="D29" i="9"/>
  <c r="E29" i="9"/>
  <c r="D31" i="9"/>
  <c r="E31" i="9"/>
  <c r="D39" i="9"/>
  <c r="E39" i="9"/>
  <c r="D33" i="9"/>
  <c r="E33" i="9"/>
  <c r="D37" i="9"/>
  <c r="E37" i="9"/>
  <c r="D17" i="9"/>
  <c r="E17" i="9"/>
  <c r="D19" i="9"/>
  <c r="E19" i="9"/>
  <c r="E11" i="9"/>
  <c r="D11" i="9"/>
  <c r="D21" i="9"/>
  <c r="E21" i="9"/>
  <c r="D8" i="9"/>
  <c r="E8" i="9"/>
  <c r="E27" i="9"/>
  <c r="D27" i="9"/>
  <c r="D5" i="9"/>
  <c r="E5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<sst xmlns="http://schemas.openxmlformats.org/spreadsheetml/2006/main" count="421" uniqueCount="160">
  <si>
    <t>WearEver Shoes and Accessories</t>
  </si>
  <si>
    <t>Customer Experience Survey Results</t>
  </si>
  <si>
    <t>Order ID</t>
  </si>
  <si>
    <t>Product</t>
  </si>
  <si>
    <t>Color</t>
  </si>
  <si>
    <t>Size</t>
  </si>
  <si>
    <t>Comfort</t>
  </si>
  <si>
    <t>Fit</t>
  </si>
  <si>
    <t>Style</t>
  </si>
  <si>
    <t>WE001</t>
  </si>
  <si>
    <t>Rugged Hiking Boots</t>
  </si>
  <si>
    <t>Brown</t>
  </si>
  <si>
    <t>WE002</t>
  </si>
  <si>
    <t>WE003</t>
  </si>
  <si>
    <t>Black</t>
  </si>
  <si>
    <t>WE004</t>
  </si>
  <si>
    <t>WE005</t>
  </si>
  <si>
    <t>WE006</t>
  </si>
  <si>
    <t>WE007</t>
  </si>
  <si>
    <t>WE008</t>
  </si>
  <si>
    <t>WE009</t>
  </si>
  <si>
    <t>Comfy Walking Shoes</t>
  </si>
  <si>
    <t>WE010</t>
  </si>
  <si>
    <t>WE011</t>
  </si>
  <si>
    <t>Navy</t>
  </si>
  <si>
    <t>WE012</t>
  </si>
  <si>
    <t>WE013</t>
  </si>
  <si>
    <t>Taupe</t>
  </si>
  <si>
    <t>WE014</t>
  </si>
  <si>
    <t>WE015</t>
  </si>
  <si>
    <t>Lazy Flip-Flops</t>
  </si>
  <si>
    <t>Pink</t>
  </si>
  <si>
    <t>WE016</t>
  </si>
  <si>
    <t>WE017</t>
  </si>
  <si>
    <t>WE018</t>
  </si>
  <si>
    <t>White</t>
  </si>
  <si>
    <t>WE019</t>
  </si>
  <si>
    <t>WE020</t>
  </si>
  <si>
    <t>WE021</t>
  </si>
  <si>
    <t>WE022</t>
  </si>
  <si>
    <t>WE023</t>
  </si>
  <si>
    <t>WE024</t>
  </si>
  <si>
    <t>WE025</t>
  </si>
  <si>
    <t>Seriously Tall Boots</t>
  </si>
  <si>
    <t>WE026</t>
  </si>
  <si>
    <t>WE027</t>
  </si>
  <si>
    <t>WE028</t>
  </si>
  <si>
    <t>WE029</t>
  </si>
  <si>
    <t>WE030</t>
  </si>
  <si>
    <t>WE031</t>
  </si>
  <si>
    <t>Glide Running Shoes</t>
  </si>
  <si>
    <t>WE032</t>
  </si>
  <si>
    <t>WE033</t>
  </si>
  <si>
    <t>WE034</t>
  </si>
  <si>
    <t>WE035</t>
  </si>
  <si>
    <t>WE036</t>
  </si>
  <si>
    <t>Average Ratings by Shoe Style</t>
  </si>
  <si>
    <t>Overall</t>
  </si>
  <si>
    <t>Rating</t>
  </si>
  <si>
    <t>Ratings</t>
  </si>
  <si>
    <t>Excellent</t>
  </si>
  <si>
    <t>&gt;=9</t>
  </si>
  <si>
    <t>Above Average</t>
  </si>
  <si>
    <t>Between 8 and 9</t>
  </si>
  <si>
    <t>Average</t>
  </si>
  <si>
    <t>Between 5 and 7</t>
  </si>
  <si>
    <t>Poor</t>
  </si>
  <si>
    <t>&lt;5</t>
  </si>
  <si>
    <t>Quantity</t>
  </si>
  <si>
    <t>rug*</t>
  </si>
  <si>
    <t>com*</t>
  </si>
  <si>
    <t>laz*</t>
  </si>
  <si>
    <t>ser*</t>
  </si>
  <si>
    <t>gli*</t>
  </si>
  <si>
    <t>Shipment Times</t>
  </si>
  <si>
    <t>Order #</t>
  </si>
  <si>
    <t>Shipped</t>
  </si>
  <si>
    <t>Arrived</t>
  </si>
  <si>
    <t>Days</t>
  </si>
  <si>
    <t>Arrival Day</t>
  </si>
  <si>
    <t>WESA001</t>
  </si>
  <si>
    <t>WESA002</t>
  </si>
  <si>
    <t>WESA003</t>
  </si>
  <si>
    <t>WESA004</t>
  </si>
  <si>
    <t>WESA005</t>
  </si>
  <si>
    <t>WESA006</t>
  </si>
  <si>
    <t>WESA007</t>
  </si>
  <si>
    <t>WESA008</t>
  </si>
  <si>
    <t>WESA009</t>
  </si>
  <si>
    <t>WESA010</t>
  </si>
  <si>
    <t>WESA011</t>
  </si>
  <si>
    <t>WESA012</t>
  </si>
  <si>
    <t>WESA013</t>
  </si>
  <si>
    <t>WESA014</t>
  </si>
  <si>
    <t>WESA015</t>
  </si>
  <si>
    <t>WESA016</t>
  </si>
  <si>
    <t>WESA017</t>
  </si>
  <si>
    <t>WESA018</t>
  </si>
  <si>
    <t>WESA019</t>
  </si>
  <si>
    <t>WESA020</t>
  </si>
  <si>
    <t>WESA021</t>
  </si>
  <si>
    <t>WESA022</t>
  </si>
  <si>
    <t>WESA023</t>
  </si>
  <si>
    <t>WESA024</t>
  </si>
  <si>
    <t>WESA025</t>
  </si>
  <si>
    <t>WESA026</t>
  </si>
  <si>
    <t>WESA027</t>
  </si>
  <si>
    <t>WESA028</t>
  </si>
  <si>
    <t>WESA029</t>
  </si>
  <si>
    <t>WESA030</t>
  </si>
  <si>
    <t>WESA031</t>
  </si>
  <si>
    <t>WESA032</t>
  </si>
  <si>
    <t>WESA033</t>
  </si>
  <si>
    <t>WESA034</t>
  </si>
  <si>
    <t>WESA035</t>
  </si>
  <si>
    <t>WESA036</t>
  </si>
  <si>
    <t>WearEver Accessories Inventory</t>
  </si>
  <si>
    <t>Product ID</t>
  </si>
  <si>
    <t>Men's or 
Women's</t>
  </si>
  <si>
    <t>Cost</t>
  </si>
  <si>
    <t>Retail</t>
  </si>
  <si>
    <t>WE040</t>
  </si>
  <si>
    <t>AllAround Shoulder Bag</t>
  </si>
  <si>
    <t>Tan</t>
  </si>
  <si>
    <t>WE041</t>
  </si>
  <si>
    <t>WE037</t>
  </si>
  <si>
    <t>Chunky Heel Boots</t>
  </si>
  <si>
    <t>W</t>
  </si>
  <si>
    <t>WE038</t>
  </si>
  <si>
    <t>WE039</t>
  </si>
  <si>
    <t>M</t>
  </si>
  <si>
    <t>Specific Product Counts</t>
  </si>
  <si>
    <t>In Stock</t>
  </si>
  <si>
    <t>WE042</t>
  </si>
  <si>
    <t>Cool Crossbuddy</t>
  </si>
  <si>
    <t>Multi</t>
  </si>
  <si>
    <t>Handbag Products</t>
  </si>
  <si>
    <t>WE043</t>
  </si>
  <si>
    <t>Greenlee Satchel</t>
  </si>
  <si>
    <t>WE044</t>
  </si>
  <si>
    <t>Monroe Tote</t>
  </si>
  <si>
    <t>Ivory</t>
  </si>
  <si>
    <t>WE045</t>
  </si>
  <si>
    <t>Red</t>
  </si>
  <si>
    <t>WE046</t>
  </si>
  <si>
    <t>Nightfall Clutch</t>
  </si>
  <si>
    <t>WE047</t>
  </si>
  <si>
    <t>Pewter</t>
  </si>
  <si>
    <t>Wear-Ever Shoes</t>
  </si>
  <si>
    <t>Employee E-Mail List</t>
  </si>
  <si>
    <t>First Name</t>
  </si>
  <si>
    <t>Last Name</t>
  </si>
  <si>
    <t>Email Addresses</t>
  </si>
  <si>
    <t>Vincent</t>
  </si>
  <si>
    <t>Bowman</t>
  </si>
  <si>
    <t>Louis</t>
  </si>
  <si>
    <t>Patricia</t>
  </si>
  <si>
    <t>Lynwood</t>
  </si>
  <si>
    <t>Drew</t>
  </si>
  <si>
    <t>Cronin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</si>
</sst>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mmmm\ d"/>
  </numFmts>
  <fonts count="20" x14ac:knownFonts="1">
    <font>
      <sz val="11"/>
      <color theme="1"/>
      <name val="Calibri"/>
      <family val="2"/>
    </font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sz val="11"/>
      <color theme="1"/>
      <name val="Calibri"/>
      <family val="2"/>
    </font>
    <font>
      <b/>
      <sz val="18"/>
      <color theme="3"/>
      <name val="Corbel"/>
      <family val="2"/>
      <scheme val="major"/>
    </font>
    <font>
      <b/>
      <sz val="15"/>
      <color theme="3"/>
      <name val="Calibri"/>
      <family val="2"/>
    </font>
    <font>
      <sz val="12"/>
      <color theme="1"/>
      <name val="Corbel"/>
      <family val="2"/>
      <scheme val="minor"/>
    </font>
    <font>
      <b/>
      <sz val="16"/>
      <color theme="1"/>
      <name val="Corbel"/>
      <family val="2"/>
      <scheme val="minor"/>
    </font>
    <font>
      <b/>
      <sz val="12"/>
      <color theme="1"/>
      <name val="Corbel"/>
      <family val="2"/>
      <scheme val="minor"/>
    </font>
    <font>
      <b/>
      <sz val="11"/>
      <color theme="1"/>
      <name val="Corbel"/>
      <family val="2"/>
      <scheme val="minor"/>
    </font>
    <font>
      <sz val="16"/>
      <color theme="1"/>
      <name val="Corbel"/>
      <family val="2"/>
      <scheme val="minor"/>
    </font>
    <font>
      <b/>
      <sz val="24"/>
      <color theme="1"/>
      <name val="Corbel"/>
      <family val="2"/>
      <scheme val="minor"/>
    </font>
    <font>
      <sz val="11"/>
      <name val="Calibri"/>
      <family val="2"/>
    </font>
    <font>
      <sz val="14"/>
      <color theme="1"/>
      <name val="Calibri"/>
      <family val="2"/>
    </font>
    <font>
      <b/>
      <sz val="11"/>
      <color theme="3"/>
      <name val="Calibri"/>
      <family val="2"/>
    </font>
    <font>
      <sz val="11"/>
      <color theme="1"/>
      <name val="Corbel"/>
      <family val="1"/>
      <scheme val="minor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9">
    <xf numFmtId="0" fontId="0" fillId="0" borderId="0"/>
    <xf numFmtId="0" fontId="15" fillId="0" borderId="0"/>
    <xf numFmtId="44" fontId="1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44" fontId="15" fillId="0" borderId="0" applyFont="0" applyFill="0" applyBorder="0" applyAlignment="0" applyProtection="0"/>
    <xf numFmtId="0" fontId="8" fillId="0" borderId="1" applyNumberFormat="0" applyFill="0" applyAlignment="0" applyProtection="0"/>
    <xf numFmtId="0" fontId="8" fillId="0" borderId="1" applyNumberFormat="0" applyFill="0" applyAlignment="0" applyProtection="0"/>
    <xf numFmtId="0" fontId="17" fillId="0" borderId="0" applyNumberFormat="0" applyFill="0" applyBorder="0" applyAlignment="0" applyProtection="0"/>
    <xf numFmtId="0" fontId="6" fillId="0" borderId="0"/>
    <xf numFmtId="0" fontId="15" fillId="0" borderId="0"/>
    <xf numFmtId="0" fontId="6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74">
    <xf numFmtId="0" fontId="0" fillId="0" borderId="0" xfId="0"/>
    <xf numFmtId="0" fontId="6" fillId="0" borderId="0" xfId="14"/>
    <xf numFmtId="0" fontId="11" fillId="0" borderId="0" xfId="8" applyFont="1" applyFill="1" applyAlignment="1">
      <alignment horizontal="center"/>
    </xf>
    <xf numFmtId="0" fontId="10" fillId="0" borderId="0" xfId="11" applyFont="1" applyBorder="1" applyAlignment="1">
      <alignment horizontal="left"/>
    </xf>
    <xf numFmtId="0" fontId="14" fillId="0" borderId="0" xfId="17" applyFont="1" applyAlignment="1">
      <alignment horizontal="left"/>
    </xf>
    <xf numFmtId="0" fontId="5" fillId="0" borderId="0" xfId="14" applyFont="1"/>
    <xf numFmtId="0" fontId="9" fillId="0" borderId="2" xfId="8" applyFont="1" applyFill="1" applyBorder="1"/>
    <xf numFmtId="0" fontId="12" fillId="3" borderId="2" xfId="14" applyFont="1" applyFill="1" applyBorder="1"/>
    <xf numFmtId="0" fontId="11" fillId="3" borderId="2" xfId="8" applyFont="1" applyFill="1" applyBorder="1" applyAlignment="1">
      <alignment horizontal="center"/>
    </xf>
    <xf numFmtId="0" fontId="11" fillId="3" borderId="2" xfId="8" applyFont="1" applyFill="1" applyBorder="1" applyAlignment="1">
      <alignment horizontal="center" wrapText="1"/>
    </xf>
    <xf numFmtId="0" fontId="16" fillId="0" borderId="0" xfId="14" applyFont="1"/>
    <xf numFmtId="0" fontId="17" fillId="0" borderId="2" xfId="13" applyBorder="1"/>
    <xf numFmtId="0" fontId="17" fillId="0" borderId="12" xfId="13" applyBorder="1"/>
    <xf numFmtId="0" fontId="17" fillId="0" borderId="2" xfId="13" applyBorder="1" applyAlignment="1">
      <alignment horizontal="left"/>
    </xf>
    <xf numFmtId="0" fontId="17" fillId="0" borderId="0" xfId="13" applyAlignment="1">
      <alignment horizontal="center"/>
    </xf>
    <xf numFmtId="0" fontId="18" fillId="0" borderId="2" xfId="15" applyFont="1" applyBorder="1"/>
    <xf numFmtId="0" fontId="18" fillId="0" borderId="12" xfId="15" applyFont="1" applyBorder="1"/>
    <xf numFmtId="0" fontId="18" fillId="0" borderId="2" xfId="15" applyFont="1" applyBorder="1" applyAlignment="1">
      <alignment horizontal="left"/>
    </xf>
    <xf numFmtId="0" fontId="18" fillId="0" borderId="0" xfId="15" applyFont="1" applyAlignment="1">
      <alignment horizontal="left"/>
    </xf>
    <xf numFmtId="0" fontId="6" fillId="0" borderId="2" xfId="14" applyBorder="1"/>
    <xf numFmtId="0" fontId="11" fillId="0" borderId="2" xfId="8" applyFont="1" applyFill="1" applyBorder="1" applyAlignment="1">
      <alignment horizontal="center"/>
    </xf>
    <xf numFmtId="0" fontId="11" fillId="0" borderId="2" xfId="8" applyFont="1" applyFill="1" applyBorder="1" applyAlignment="1">
      <alignment horizontal="center" wrapText="1"/>
    </xf>
    <xf numFmtId="0" fontId="14" fillId="0" borderId="0" xfId="18" applyFont="1" applyAlignment="1">
      <alignment horizontal="left"/>
    </xf>
    <xf numFmtId="0" fontId="4" fillId="0" borderId="0" xfId="16" applyFont="1"/>
    <xf numFmtId="165" fontId="13" fillId="0" borderId="0" xfId="12" applyNumberFormat="1" applyFont="1" applyBorder="1" applyAlignment="1">
      <alignment horizontal="left"/>
    </xf>
    <xf numFmtId="0" fontId="10" fillId="0" borderId="0" xfId="12" applyFont="1" applyBorder="1" applyAlignment="1">
      <alignment horizontal="left"/>
    </xf>
    <xf numFmtId="0" fontId="12" fillId="0" borderId="3" xfId="16" applyFont="1" applyBorder="1"/>
    <xf numFmtId="0" fontId="11" fillId="0" borderId="3" xfId="9" applyFont="1" applyFill="1" applyBorder="1" applyAlignment="1">
      <alignment horizontal="center"/>
    </xf>
    <xf numFmtId="0" fontId="11" fillId="0" borderId="3" xfId="9" applyFont="1" applyFill="1" applyBorder="1" applyAlignment="1">
      <alignment horizontal="center" wrapText="1"/>
    </xf>
    <xf numFmtId="0" fontId="9" fillId="0" borderId="4" xfId="9" applyFont="1" applyFill="1" applyBorder="1"/>
    <xf numFmtId="0" fontId="12" fillId="0" borderId="2" xfId="16" applyFont="1" applyBorder="1" applyAlignment="1">
      <alignment horizontal="center"/>
    </xf>
    <xf numFmtId="0" fontId="0" fillId="0" borderId="15" xfId="16" applyFont="1" applyBorder="1"/>
    <xf numFmtId="0" fontId="0" fillId="0" borderId="2" xfId="16" applyFont="1" applyBorder="1"/>
    <xf numFmtId="0" fontId="13" fillId="0" borderId="0" xfId="16" applyFont="1"/>
    <xf numFmtId="0" fontId="12" fillId="0" borderId="2" xfId="16" applyFont="1" applyBorder="1"/>
    <xf numFmtId="14" fontId="6" fillId="0" borderId="2" xfId="14" applyNumberFormat="1" applyBorder="1"/>
    <xf numFmtId="0" fontId="12" fillId="4" borderId="2" xfId="14" applyFont="1" applyFill="1" applyBorder="1"/>
    <xf numFmtId="0" fontId="11" fillId="4" borderId="2" xfId="8" applyFont="1" applyFill="1" applyBorder="1" applyAlignment="1">
      <alignment horizontal="center"/>
    </xf>
    <xf numFmtId="0" fontId="11" fillId="4" borderId="2" xfId="8" applyFont="1" applyFill="1" applyBorder="1" applyAlignment="1">
      <alignment horizontal="center" wrapText="1"/>
    </xf>
    <xf numFmtId="0" fontId="12" fillId="0" borderId="2" xfId="14" applyFont="1" applyBorder="1" applyAlignment="1">
      <alignment horizontal="center"/>
    </xf>
    <xf numFmtId="0" fontId="3" fillId="0" borderId="0" xfId="14" applyFont="1"/>
    <xf numFmtId="0" fontId="2" fillId="0" borderId="0" xfId="14" applyFont="1"/>
    <xf numFmtId="0" fontId="1" fillId="0" borderId="2" xfId="16" applyFont="1" applyBorder="1"/>
    <xf numFmtId="0" fontId="9" fillId="0" borderId="5" xfId="9" applyFont="1" applyFill="1" applyBorder="1"/>
    <xf numFmtId="0" fontId="1" fillId="0" borderId="0" xfId="14" applyFont="1"/>
    <xf numFmtId="0" fontId="1" fillId="0" borderId="12" xfId="14" applyFont="1" applyBorder="1"/>
    <xf numFmtId="0" fontId="1" fillId="0" borderId="13" xfId="14" applyFont="1" applyBorder="1"/>
    <xf numFmtId="0" fontId="1" fillId="0" borderId="2" xfId="14" applyFont="1" applyBorder="1"/>
    <xf numFmtId="0" fontId="1" fillId="0" borderId="2" xfId="14" applyFont="1" applyBorder="1" applyAlignment="1">
      <alignment horizontal="center"/>
    </xf>
    <xf numFmtId="0" fontId="1" fillId="0" borderId="2" xfId="14" applyFont="1" applyBorder="1" applyAlignment="1">
      <alignment horizontal="right"/>
    </xf>
    <xf numFmtId="16" fontId="1" fillId="0" borderId="2" xfId="14" applyNumberFormat="1" applyFont="1" applyBorder="1" applyAlignment="1">
      <alignment horizontal="right"/>
    </xf>
    <xf numFmtId="0" fontId="1" fillId="0" borderId="14" xfId="14" applyFont="1" applyBorder="1"/>
    <xf numFmtId="0" fontId="1" fillId="0" borderId="0" xfId="16" applyFont="1"/>
    <xf numFmtId="0" fontId="1" fillId="0" borderId="4" xfId="16" applyFont="1" applyBorder="1"/>
    <xf numFmtId="0" fontId="1" fillId="0" borderId="4" xfId="16" applyFont="1" applyBorder="1" applyAlignment="1">
      <alignment horizontal="center"/>
    </xf>
    <xf numFmtId="164" fontId="1" fillId="0" borderId="4" xfId="16" applyNumberFormat="1" applyFont="1" applyBorder="1"/>
    <xf numFmtId="0" fontId="1" fillId="0" borderId="16" xfId="16" applyFont="1" applyBorder="1"/>
    <xf numFmtId="0" fontId="1" fillId="0" borderId="5" xfId="16" applyFont="1" applyBorder="1"/>
    <xf numFmtId="0" fontId="1" fillId="0" borderId="5" xfId="16" applyFont="1" applyBorder="1" applyAlignment="1">
      <alignment horizontal="center"/>
    </xf>
    <xf numFmtId="164" fontId="1" fillId="0" borderId="5" xfId="16" applyNumberFormat="1" applyFont="1" applyBorder="1"/>
    <xf numFmtId="0" fontId="14" fillId="3" borderId="6" xfId="17" applyFont="1" applyFill="1" applyBorder="1" applyAlignment="1">
      <alignment horizontal="center"/>
    </xf>
    <xf numFmtId="0" fontId="14" fillId="3" borderId="7" xfId="17" applyFont="1" applyFill="1" applyBorder="1" applyAlignment="1">
      <alignment horizontal="center"/>
    </xf>
    <xf numFmtId="0" fontId="10" fillId="3" borderId="9" xfId="11" applyFont="1" applyFill="1" applyBorder="1" applyAlignment="1">
      <alignment horizontal="center"/>
    </xf>
    <xf numFmtId="0" fontId="10" fillId="3" borderId="10" xfId="11" applyFont="1" applyFill="1" applyBorder="1" applyAlignment="1">
      <alignment horizontal="center"/>
    </xf>
    <xf numFmtId="0" fontId="12" fillId="0" borderId="2" xfId="14" applyFont="1" applyBorder="1" applyAlignment="1">
      <alignment horizontal="center"/>
    </xf>
    <xf numFmtId="0" fontId="10" fillId="4" borderId="6" xfId="17" applyFont="1" applyFill="1" applyBorder="1" applyAlignment="1">
      <alignment horizontal="center"/>
    </xf>
    <xf numFmtId="0" fontId="10" fillId="4" borderId="7" xfId="17" applyFont="1" applyFill="1" applyBorder="1" applyAlignment="1">
      <alignment horizontal="center"/>
    </xf>
    <xf numFmtId="0" fontId="10" fillId="4" borderId="8" xfId="17" applyFont="1" applyFill="1" applyBorder="1" applyAlignment="1">
      <alignment horizontal="center"/>
    </xf>
    <xf numFmtId="0" fontId="10" fillId="4" borderId="9" xfId="11" applyFont="1" applyFill="1" applyBorder="1" applyAlignment="1">
      <alignment horizontal="center"/>
    </xf>
    <xf numFmtId="0" fontId="10" fillId="4" borderId="10" xfId="11" applyFont="1" applyFill="1" applyBorder="1" applyAlignment="1">
      <alignment horizontal="center"/>
    </xf>
    <xf numFmtId="0" fontId="10" fillId="4" borderId="11" xfId="11" applyFont="1" applyFill="1" applyBorder="1" applyAlignment="1">
      <alignment horizontal="center"/>
    </xf>
    <xf numFmtId="0" fontId="12" fillId="0" borderId="12" xfId="16" applyFont="1" applyBorder="1" applyAlignment="1">
      <alignment horizontal="center"/>
    </xf>
    <xf numFmtId="0" fontId="12" fillId="0" borderId="13" xfId="16" applyFont="1" applyBorder="1" applyAlignment="1">
      <alignment horizontal="center"/>
    </xf>
    <xf numFmtId="0" fontId="12" fillId="0" borderId="14" xfId="16" applyFont="1" applyBorder="1" applyAlignment="1">
      <alignment horizontal="center"/>
    </xf>
  </cellXfs>
  <cellStyles count="19">
    <cellStyle name="40% - Accent1 2" xfId="7" xr:uid="{A556B67B-F633-4202-A26E-EEFFF68829FF}"/>
    <cellStyle name="40%  Accent1 2#xm8qH0UbLW+XxxarBrkdFmPaikeFImxP2Kx+lkCk0QUFMild0Mdsxg==" xfId="9" xr:uid="{00000000-0005-0000-0000-00000C000000}"/>
    <cellStyle name="40%  Accent1#xm8qH0UbLW9Ij2mg+2upvB3R53FF3nlNDPX2SmElG1MhTUPnowyD8Q==" xfId="8" xr:uid="{00000000-0005-0000-0000-00000B000000}"/>
    <cellStyle name="Currency 2" xfId="2" xr:uid="{00000000-0005-0000-0000-000001000000}"/>
    <cellStyle name="Currency 2#TnBmtWgHPaIG6Rnb4a+P6Eas2fcNez/VdP2jvwVEjifnTdMhiOwMTQ==" xfId="10" xr:uid="{00000000-0005-0000-0000-00000D000000}"/>
    <cellStyle name="Heading 1 2" xfId="6" xr:uid="{5B13413B-F0B8-40A6-87C5-DBB5A454A4EA}"/>
    <cellStyle name="Heading 1 2#M/4h8KgHQiHEjGPSxhuCT9Ubri1/nvXKqgY1wvg+6djRMUVqvi2q1A==" xfId="12" xr:uid="{00000000-0005-0000-0000-00000F000000}"/>
    <cellStyle name="Heading 1#M/4h8KgHQiHB4+zeZFt0uSnUdNhycZQisb+8etjaOmQ=" xfId="11" xr:uid="{00000000-0005-0000-0000-00000E000000}"/>
    <cellStyle name="Heading 4 2" xfId="3" xr:uid="{00000000-0005-0000-0000-000003000000}"/>
    <cellStyle name="Heading 4 2#M/4h8KgHQiHjbZspt95zEnnpDa3AEb/wGMgxWnerLhHILTJD3n6Oag==" xfId="13" xr:uid="{00000000-0005-0000-0000-000010000000}"/>
    <cellStyle name="Normal" xfId="0" builtinId="0"/>
    <cellStyle name="Normal 2" xfId="1" xr:uid="{00000000-0005-0000-0000-000005000000}"/>
    <cellStyle name="Normal 2 2" xfId="4" xr:uid="{48E5167E-540B-4583-9273-366D46DF544B}"/>
    <cellStyle name="Normal 2 2#A09wMfuOz08VCDrOqTdKVecagJPOMXbqZXSFRqQ7TetqUZPQL0NHmw==" xfId="16" xr:uid="{00000000-0005-0000-0000-000013000000}"/>
    <cellStyle name="Normal 2#A09wMfuOz08f6/glj4WwzOjLlGNsMZw4ElIgJtnpxTw=" xfId="15" xr:uid="{00000000-0005-0000-0000-000012000000}"/>
    <cellStyle name="Normal#pfnQYTawpRfDCzl3QIWB54d4X7qkaxuXsUQe3WFhXDk=" xfId="14" xr:uid="{00000000-0005-0000-0000-000011000000}"/>
    <cellStyle name="Title 2" xfId="5" xr:uid="{5EBF1EA7-3218-4C03-9300-1323F8FBF3D8}"/>
    <cellStyle name="Title 2#qUSNFTjIZ8wn2/pFLao0w2sR32YiDmGia8KJFEyyIak=" xfId="18" xr:uid="{00000000-0005-0000-0000-000015000000}"/>
    <cellStyle name="Title#R7Epuu2TNK4OELf4w4prytxq7jRCZvXtaaW+Z+ASJtc=" xfId="17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Depth">
  <a:themeElements>
    <a:clrScheme name="Depth">
      <a:dk1>
        <a:sysClr val="windowText" lastClr="000000"/>
      </a:dk1>
      <a:lt1>
        <a:sysClr val="window" lastClr="FFFFFF"/>
      </a:lt1>
      <a:dk2>
        <a:srgbClr val="455F51"/>
      </a:dk2>
      <a:lt2>
        <a:srgbClr val="94D7E4"/>
      </a:lt2>
      <a:accent1>
        <a:srgbClr val="41AEBD"/>
      </a:accent1>
      <a:accent2>
        <a:srgbClr val="97E9D5"/>
      </a:accent2>
      <a:accent3>
        <a:srgbClr val="A2CF49"/>
      </a:accent3>
      <a:accent4>
        <a:srgbClr val="608F3D"/>
      </a:accent4>
      <a:accent5>
        <a:srgbClr val="F4DE3A"/>
      </a:accent5>
      <a:accent6>
        <a:srgbClr val="FCB11C"/>
      </a:accent6>
      <a:hlink>
        <a:srgbClr val="FBCA98"/>
      </a:hlink>
      <a:folHlink>
        <a:srgbClr val="D3B86D"/>
      </a:folHlink>
    </a:clrScheme>
    <a:fontScheme name="Depth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Depth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epth" id="{7BEAFC2A-325C-49C4-AC08-2B765DA903F9}" vid="{1735E755-43E6-43AA-ABA2-C989ECC79AF5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D043-705C-49F8-A49E-ECB80D1EAAA9}">
  <sheetPr>
    <tabColor theme="8" tint="0.39997558519241921"/>
  </sheetPr>
  <dimension ref="A1:G40"/>
  <sheetViews>
    <sheetView topLeftCell="A4" zoomScaleNormal="100" workbookViewId="0">
      <selection activeCell="H24" sqref="H24"/>
    </sheetView>
  </sheetViews>
  <sheetFormatPr defaultColWidth="9.109375" defaultRowHeight="14.4" x14ac:dyDescent="0.3"/>
  <cols>
    <col min="1" max="1" width="10.109375" style="40" bestFit="1" customWidth="1"/>
    <col min="2" max="2" width="24.6640625" style="40" customWidth="1"/>
    <col min="3" max="3" width="6.6640625" style="40" bestFit="1" customWidth="1"/>
    <col min="4" max="4" width="7" style="40" customWidth="1"/>
    <col min="5" max="7" width="10.33203125" style="40" customWidth="1"/>
    <col min="8" max="9" width="9.109375" style="40"/>
    <col min="10" max="10" width="14.5546875" style="40" bestFit="1" customWidth="1"/>
    <col min="11" max="11" width="12.5546875" style="40" customWidth="1"/>
    <col min="12" max="16384" width="9.109375" style="40"/>
  </cols>
  <sheetData>
    <row r="1" spans="1:7" ht="31.2" x14ac:dyDescent="0.6">
      <c r="A1" s="60" t="s">
        <v>0</v>
      </c>
      <c r="B1" s="61"/>
      <c r="C1" s="61"/>
      <c r="D1" s="61"/>
      <c r="E1" s="61"/>
      <c r="F1" s="61"/>
      <c r="G1" s="61"/>
    </row>
    <row r="2" spans="1:7" ht="21" x14ac:dyDescent="0.4">
      <c r="A2" s="62" t="s">
        <v>1</v>
      </c>
      <c r="B2" s="63"/>
      <c r="C2" s="63"/>
      <c r="D2" s="63"/>
      <c r="E2" s="63"/>
      <c r="F2" s="63"/>
      <c r="G2" s="63"/>
    </row>
    <row r="3" spans="1:7" x14ac:dyDescent="0.3">
      <c r="A3" s="45"/>
      <c r="B3" s="46"/>
      <c r="C3" s="46"/>
      <c r="D3" s="46"/>
      <c r="E3" s="46"/>
      <c r="F3" s="46"/>
      <c r="G3" s="46"/>
    </row>
    <row r="4" spans="1:7" ht="35.25" customHeight="1" x14ac:dyDescent="0.3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9" t="s">
        <v>7</v>
      </c>
      <c r="G4" s="9" t="s">
        <v>8</v>
      </c>
    </row>
    <row r="5" spans="1:7" ht="15.6" x14ac:dyDescent="0.3">
      <c r="A5" s="47" t="s">
        <v>9</v>
      </c>
      <c r="B5" s="6" t="s">
        <v>10</v>
      </c>
      <c r="C5" s="47" t="s">
        <v>11</v>
      </c>
      <c r="D5" s="48">
        <v>8</v>
      </c>
      <c r="E5" s="48">
        <v>7</v>
      </c>
      <c r="F5" s="48">
        <v>9</v>
      </c>
      <c r="G5" s="48">
        <v>7</v>
      </c>
    </row>
    <row r="6" spans="1:7" ht="15.6" x14ac:dyDescent="0.3">
      <c r="A6" s="47" t="s">
        <v>12</v>
      </c>
      <c r="B6" s="6" t="s">
        <v>10</v>
      </c>
      <c r="C6" s="47" t="s">
        <v>11</v>
      </c>
      <c r="D6" s="48">
        <v>10</v>
      </c>
      <c r="E6" s="48">
        <v>8</v>
      </c>
      <c r="F6" s="48">
        <v>8</v>
      </c>
      <c r="G6" s="48">
        <v>10</v>
      </c>
    </row>
    <row r="7" spans="1:7" ht="15.6" x14ac:dyDescent="0.3">
      <c r="A7" s="47" t="s">
        <v>13</v>
      </c>
      <c r="B7" s="6" t="s">
        <v>10</v>
      </c>
      <c r="C7" s="47" t="s">
        <v>14</v>
      </c>
      <c r="D7" s="48">
        <v>9.5</v>
      </c>
      <c r="E7" s="48">
        <v>8</v>
      </c>
      <c r="F7" s="48">
        <v>9</v>
      </c>
      <c r="G7" s="48">
        <v>8</v>
      </c>
    </row>
    <row r="8" spans="1:7" ht="15.6" x14ac:dyDescent="0.3">
      <c r="A8" s="47" t="s">
        <v>15</v>
      </c>
      <c r="B8" s="6" t="s">
        <v>10</v>
      </c>
      <c r="C8" s="47" t="s">
        <v>14</v>
      </c>
      <c r="D8" s="48">
        <v>10.5</v>
      </c>
      <c r="E8" s="48">
        <v>6</v>
      </c>
      <c r="F8" s="48">
        <v>9</v>
      </c>
      <c r="G8" s="48">
        <v>9</v>
      </c>
    </row>
    <row r="9" spans="1:7" ht="15.6" x14ac:dyDescent="0.3">
      <c r="A9" s="47" t="s">
        <v>16</v>
      </c>
      <c r="B9" s="6" t="s">
        <v>10</v>
      </c>
      <c r="C9" s="47" t="s">
        <v>14</v>
      </c>
      <c r="D9" s="48">
        <v>7.5</v>
      </c>
      <c r="E9" s="48">
        <v>8</v>
      </c>
      <c r="F9" s="48">
        <v>8</v>
      </c>
      <c r="G9" s="48">
        <v>10</v>
      </c>
    </row>
    <row r="10" spans="1:7" ht="15.6" x14ac:dyDescent="0.3">
      <c r="A10" s="47" t="s">
        <v>17</v>
      </c>
      <c r="B10" s="6" t="s">
        <v>10</v>
      </c>
      <c r="C10" s="47" t="s">
        <v>14</v>
      </c>
      <c r="D10" s="48">
        <v>8</v>
      </c>
      <c r="E10" s="48">
        <v>7</v>
      </c>
      <c r="F10" s="48">
        <v>9</v>
      </c>
      <c r="G10" s="48">
        <v>9</v>
      </c>
    </row>
    <row r="11" spans="1:7" ht="15.6" x14ac:dyDescent="0.3">
      <c r="A11" s="47" t="s">
        <v>18</v>
      </c>
      <c r="B11" s="6" t="s">
        <v>10</v>
      </c>
      <c r="C11" s="47" t="s">
        <v>11</v>
      </c>
      <c r="D11" s="48">
        <v>9</v>
      </c>
      <c r="E11" s="48">
        <v>9</v>
      </c>
      <c r="F11" s="48">
        <v>9</v>
      </c>
      <c r="G11" s="48">
        <v>8</v>
      </c>
    </row>
    <row r="12" spans="1:7" ht="15.6" x14ac:dyDescent="0.3">
      <c r="A12" s="47" t="s">
        <v>19</v>
      </c>
      <c r="B12" s="6" t="s">
        <v>10</v>
      </c>
      <c r="C12" s="47" t="s">
        <v>11</v>
      </c>
      <c r="D12" s="48">
        <v>8.5</v>
      </c>
      <c r="E12" s="48">
        <v>9</v>
      </c>
      <c r="F12" s="48">
        <v>8</v>
      </c>
      <c r="G12" s="48">
        <v>9</v>
      </c>
    </row>
    <row r="13" spans="1:7" ht="15.6" x14ac:dyDescent="0.3">
      <c r="A13" s="47" t="s">
        <v>20</v>
      </c>
      <c r="B13" s="6" t="s">
        <v>21</v>
      </c>
      <c r="C13" s="47" t="s">
        <v>11</v>
      </c>
      <c r="D13" s="48">
        <v>8.5</v>
      </c>
      <c r="E13" s="48">
        <v>8</v>
      </c>
      <c r="F13" s="48">
        <v>3</v>
      </c>
      <c r="G13" s="48">
        <v>8</v>
      </c>
    </row>
    <row r="14" spans="1:7" ht="15.6" x14ac:dyDescent="0.3">
      <c r="A14" s="47" t="s">
        <v>22</v>
      </c>
      <c r="B14" s="6" t="s">
        <v>21</v>
      </c>
      <c r="C14" s="47" t="s">
        <v>14</v>
      </c>
      <c r="D14" s="48">
        <v>9</v>
      </c>
      <c r="E14" s="48">
        <v>10</v>
      </c>
      <c r="F14" s="48">
        <v>10</v>
      </c>
      <c r="G14" s="48">
        <v>8</v>
      </c>
    </row>
    <row r="15" spans="1:7" ht="15.6" x14ac:dyDescent="0.3">
      <c r="A15" s="47" t="s">
        <v>23</v>
      </c>
      <c r="B15" s="6" t="s">
        <v>21</v>
      </c>
      <c r="C15" s="47" t="s">
        <v>24</v>
      </c>
      <c r="D15" s="48">
        <v>7.5</v>
      </c>
      <c r="E15" s="48">
        <v>9</v>
      </c>
      <c r="F15" s="48">
        <v>3</v>
      </c>
      <c r="G15" s="48">
        <v>8</v>
      </c>
    </row>
    <row r="16" spans="1:7" ht="15.6" x14ac:dyDescent="0.3">
      <c r="A16" s="47" t="s">
        <v>25</v>
      </c>
      <c r="B16" s="6" t="s">
        <v>21</v>
      </c>
      <c r="C16" s="47" t="s">
        <v>14</v>
      </c>
      <c r="D16" s="48">
        <v>8</v>
      </c>
      <c r="E16" s="48">
        <v>7</v>
      </c>
      <c r="F16" s="48">
        <v>5</v>
      </c>
      <c r="G16" s="48">
        <v>10</v>
      </c>
    </row>
    <row r="17" spans="1:7" ht="15.6" x14ac:dyDescent="0.3">
      <c r="A17" s="47" t="s">
        <v>26</v>
      </c>
      <c r="B17" s="6" t="s">
        <v>21</v>
      </c>
      <c r="C17" s="47" t="s">
        <v>27</v>
      </c>
      <c r="D17" s="48">
        <v>7.5</v>
      </c>
      <c r="E17" s="48">
        <v>8</v>
      </c>
      <c r="F17" s="48">
        <v>8</v>
      </c>
      <c r="G17" s="48">
        <v>3</v>
      </c>
    </row>
    <row r="18" spans="1:7" ht="15.6" x14ac:dyDescent="0.3">
      <c r="A18" s="47" t="s">
        <v>28</v>
      </c>
      <c r="B18" s="6" t="s">
        <v>21</v>
      </c>
      <c r="C18" s="47" t="s">
        <v>11</v>
      </c>
      <c r="D18" s="48">
        <v>8</v>
      </c>
      <c r="E18" s="48">
        <v>3</v>
      </c>
      <c r="F18" s="48">
        <v>3</v>
      </c>
      <c r="G18" s="48">
        <v>8</v>
      </c>
    </row>
    <row r="19" spans="1:7" ht="15.6" x14ac:dyDescent="0.3">
      <c r="A19" s="47" t="s">
        <v>29</v>
      </c>
      <c r="B19" s="6" t="s">
        <v>30</v>
      </c>
      <c r="C19" s="47" t="s">
        <v>31</v>
      </c>
      <c r="D19" s="48">
        <v>6</v>
      </c>
      <c r="E19" s="48">
        <v>10</v>
      </c>
      <c r="F19" s="48">
        <v>1</v>
      </c>
      <c r="G19" s="48">
        <v>4</v>
      </c>
    </row>
    <row r="20" spans="1:7" ht="15.6" x14ac:dyDescent="0.3">
      <c r="A20" s="47" t="s">
        <v>32</v>
      </c>
      <c r="B20" s="6" t="s">
        <v>30</v>
      </c>
      <c r="C20" s="47" t="s">
        <v>31</v>
      </c>
      <c r="D20" s="48">
        <v>7</v>
      </c>
      <c r="E20" s="48">
        <v>3</v>
      </c>
      <c r="F20" s="48">
        <v>1</v>
      </c>
      <c r="G20" s="48">
        <v>9</v>
      </c>
    </row>
    <row r="21" spans="1:7" ht="15.6" x14ac:dyDescent="0.3">
      <c r="A21" s="47" t="s">
        <v>33</v>
      </c>
      <c r="B21" s="6" t="s">
        <v>30</v>
      </c>
      <c r="C21" s="47" t="s">
        <v>31</v>
      </c>
      <c r="D21" s="48">
        <v>8</v>
      </c>
      <c r="E21" s="48">
        <v>3</v>
      </c>
      <c r="F21" s="48">
        <v>4</v>
      </c>
      <c r="G21" s="48">
        <v>1</v>
      </c>
    </row>
    <row r="22" spans="1:7" ht="15.6" x14ac:dyDescent="0.3">
      <c r="A22" s="47" t="s">
        <v>34</v>
      </c>
      <c r="B22" s="6" t="s">
        <v>30</v>
      </c>
      <c r="C22" s="47" t="s">
        <v>35</v>
      </c>
      <c r="D22" s="48">
        <v>6</v>
      </c>
      <c r="E22" s="48">
        <v>3</v>
      </c>
      <c r="F22" s="48">
        <v>7</v>
      </c>
      <c r="G22" s="48">
        <v>1</v>
      </c>
    </row>
    <row r="23" spans="1:7" ht="15.6" x14ac:dyDescent="0.3">
      <c r="A23" s="47" t="s">
        <v>36</v>
      </c>
      <c r="B23" s="6" t="s">
        <v>30</v>
      </c>
      <c r="C23" s="47" t="s">
        <v>35</v>
      </c>
      <c r="D23" s="48">
        <v>7</v>
      </c>
      <c r="E23" s="48">
        <v>6</v>
      </c>
      <c r="F23" s="48">
        <v>9</v>
      </c>
      <c r="G23" s="48">
        <v>5</v>
      </c>
    </row>
    <row r="24" spans="1:7" ht="15.6" x14ac:dyDescent="0.3">
      <c r="A24" s="47" t="s">
        <v>37</v>
      </c>
      <c r="B24" s="6" t="s">
        <v>30</v>
      </c>
      <c r="C24" s="47" t="s">
        <v>35</v>
      </c>
      <c r="D24" s="48">
        <v>8</v>
      </c>
      <c r="E24" s="48">
        <v>1</v>
      </c>
      <c r="F24" s="48">
        <v>4</v>
      </c>
      <c r="G24" s="48">
        <v>9</v>
      </c>
    </row>
    <row r="25" spans="1:7" ht="15.6" x14ac:dyDescent="0.3">
      <c r="A25" s="47" t="s">
        <v>38</v>
      </c>
      <c r="B25" s="6" t="s">
        <v>30</v>
      </c>
      <c r="C25" s="47" t="s">
        <v>11</v>
      </c>
      <c r="D25" s="48">
        <v>8</v>
      </c>
      <c r="E25" s="48">
        <v>3</v>
      </c>
      <c r="F25" s="48">
        <v>1</v>
      </c>
      <c r="G25" s="48">
        <v>10</v>
      </c>
    </row>
    <row r="26" spans="1:7" ht="15.6" x14ac:dyDescent="0.3">
      <c r="A26" s="47" t="s">
        <v>39</v>
      </c>
      <c r="B26" s="6" t="s">
        <v>30</v>
      </c>
      <c r="C26" s="47" t="s">
        <v>11</v>
      </c>
      <c r="D26" s="48">
        <v>9</v>
      </c>
      <c r="E26" s="48">
        <v>2</v>
      </c>
      <c r="F26" s="48">
        <v>3</v>
      </c>
      <c r="G26" s="48">
        <v>9</v>
      </c>
    </row>
    <row r="27" spans="1:7" ht="15.6" x14ac:dyDescent="0.3">
      <c r="A27" s="47" t="s">
        <v>40</v>
      </c>
      <c r="B27" s="6" t="s">
        <v>30</v>
      </c>
      <c r="C27" s="47" t="s">
        <v>11</v>
      </c>
      <c r="D27" s="48">
        <v>10</v>
      </c>
      <c r="E27" s="48">
        <v>10</v>
      </c>
      <c r="F27" s="48">
        <v>1</v>
      </c>
      <c r="G27" s="48">
        <v>1</v>
      </c>
    </row>
    <row r="28" spans="1:7" ht="15.6" x14ac:dyDescent="0.3">
      <c r="A28" s="47" t="s">
        <v>41</v>
      </c>
      <c r="B28" s="6" t="s">
        <v>30</v>
      </c>
      <c r="C28" s="47" t="s">
        <v>11</v>
      </c>
      <c r="D28" s="48">
        <v>11</v>
      </c>
      <c r="E28" s="48">
        <v>8</v>
      </c>
      <c r="F28" s="48">
        <v>2</v>
      </c>
      <c r="G28" s="48">
        <v>6</v>
      </c>
    </row>
    <row r="29" spans="1:7" ht="15.6" x14ac:dyDescent="0.3">
      <c r="A29" s="47" t="s">
        <v>42</v>
      </c>
      <c r="B29" s="6" t="s">
        <v>43</v>
      </c>
      <c r="C29" s="47" t="s">
        <v>14</v>
      </c>
      <c r="D29" s="48">
        <v>6</v>
      </c>
      <c r="E29" s="48">
        <v>4</v>
      </c>
      <c r="F29" s="48">
        <v>2</v>
      </c>
      <c r="G29" s="48">
        <v>8</v>
      </c>
    </row>
    <row r="30" spans="1:7" ht="15.6" x14ac:dyDescent="0.3">
      <c r="A30" s="47" t="s">
        <v>44</v>
      </c>
      <c r="B30" s="6" t="s">
        <v>43</v>
      </c>
      <c r="C30" s="47" t="s">
        <v>14</v>
      </c>
      <c r="D30" s="48">
        <v>6.5</v>
      </c>
      <c r="E30" s="48">
        <v>10</v>
      </c>
      <c r="F30" s="48">
        <v>7</v>
      </c>
      <c r="G30" s="48">
        <v>7</v>
      </c>
    </row>
    <row r="31" spans="1:7" ht="15.6" x14ac:dyDescent="0.3">
      <c r="A31" s="47" t="s">
        <v>45</v>
      </c>
      <c r="B31" s="6" t="s">
        <v>43</v>
      </c>
      <c r="C31" s="47" t="s">
        <v>14</v>
      </c>
      <c r="D31" s="48">
        <v>7</v>
      </c>
      <c r="E31" s="48">
        <v>2</v>
      </c>
      <c r="F31" s="48">
        <v>5</v>
      </c>
      <c r="G31" s="48">
        <v>10</v>
      </c>
    </row>
    <row r="32" spans="1:7" ht="15.6" x14ac:dyDescent="0.3">
      <c r="A32" s="47" t="s">
        <v>46</v>
      </c>
      <c r="B32" s="6" t="s">
        <v>43</v>
      </c>
      <c r="C32" s="47" t="s">
        <v>14</v>
      </c>
      <c r="D32" s="48">
        <v>7.5</v>
      </c>
      <c r="E32" s="48">
        <v>4</v>
      </c>
      <c r="F32" s="48">
        <v>4</v>
      </c>
      <c r="G32" s="48">
        <v>10</v>
      </c>
    </row>
    <row r="33" spans="1:7" ht="15.6" x14ac:dyDescent="0.3">
      <c r="A33" s="47" t="s">
        <v>47</v>
      </c>
      <c r="B33" s="6" t="s">
        <v>43</v>
      </c>
      <c r="C33" s="47" t="s">
        <v>14</v>
      </c>
      <c r="D33" s="48">
        <v>8</v>
      </c>
      <c r="E33" s="48">
        <v>10</v>
      </c>
      <c r="F33" s="48">
        <v>3</v>
      </c>
      <c r="G33" s="48">
        <v>2</v>
      </c>
    </row>
    <row r="34" spans="1:7" ht="15.6" x14ac:dyDescent="0.3">
      <c r="A34" s="47" t="s">
        <v>48</v>
      </c>
      <c r="B34" s="6" t="s">
        <v>43</v>
      </c>
      <c r="C34" s="47" t="s">
        <v>14</v>
      </c>
      <c r="D34" s="48">
        <v>8.5</v>
      </c>
      <c r="E34" s="48">
        <v>10</v>
      </c>
      <c r="F34" s="48">
        <v>9</v>
      </c>
      <c r="G34" s="48">
        <v>2</v>
      </c>
    </row>
    <row r="35" spans="1:7" ht="15.6" x14ac:dyDescent="0.3">
      <c r="A35" s="47" t="s">
        <v>49</v>
      </c>
      <c r="B35" s="6" t="s">
        <v>50</v>
      </c>
      <c r="C35" s="47" t="s">
        <v>35</v>
      </c>
      <c r="D35" s="48">
        <v>8</v>
      </c>
      <c r="E35" s="48">
        <v>9</v>
      </c>
      <c r="F35" s="48">
        <v>9</v>
      </c>
      <c r="G35" s="48">
        <v>9</v>
      </c>
    </row>
    <row r="36" spans="1:7" ht="15.6" x14ac:dyDescent="0.3">
      <c r="A36" s="47" t="s">
        <v>51</v>
      </c>
      <c r="B36" s="6" t="s">
        <v>50</v>
      </c>
      <c r="C36" s="47" t="s">
        <v>35</v>
      </c>
      <c r="D36" s="48">
        <v>9</v>
      </c>
      <c r="E36" s="48">
        <v>10</v>
      </c>
      <c r="F36" s="48">
        <v>9</v>
      </c>
      <c r="G36" s="48">
        <v>9</v>
      </c>
    </row>
    <row r="37" spans="1:7" ht="15.6" x14ac:dyDescent="0.3">
      <c r="A37" s="47" t="s">
        <v>52</v>
      </c>
      <c r="B37" s="6" t="s">
        <v>50</v>
      </c>
      <c r="C37" s="47" t="s">
        <v>35</v>
      </c>
      <c r="D37" s="48">
        <v>10</v>
      </c>
      <c r="E37" s="48">
        <v>9</v>
      </c>
      <c r="F37" s="48">
        <v>10</v>
      </c>
      <c r="G37" s="48">
        <v>8</v>
      </c>
    </row>
    <row r="38" spans="1:7" ht="15.6" x14ac:dyDescent="0.3">
      <c r="A38" s="47" t="s">
        <v>53</v>
      </c>
      <c r="B38" s="6" t="s">
        <v>50</v>
      </c>
      <c r="C38" s="47" t="s">
        <v>14</v>
      </c>
      <c r="D38" s="48">
        <v>8</v>
      </c>
      <c r="E38" s="48">
        <v>9</v>
      </c>
      <c r="F38" s="48">
        <v>9</v>
      </c>
      <c r="G38" s="48">
        <v>8</v>
      </c>
    </row>
    <row r="39" spans="1:7" ht="15.6" x14ac:dyDescent="0.3">
      <c r="A39" s="47" t="s">
        <v>54</v>
      </c>
      <c r="B39" s="6" t="s">
        <v>50</v>
      </c>
      <c r="C39" s="47" t="s">
        <v>14</v>
      </c>
      <c r="D39" s="48">
        <v>9</v>
      </c>
      <c r="E39" s="48">
        <v>8</v>
      </c>
      <c r="F39" s="48">
        <v>10</v>
      </c>
      <c r="G39" s="48">
        <v>10</v>
      </c>
    </row>
    <row r="40" spans="1:7" ht="15.6" x14ac:dyDescent="0.3">
      <c r="A40" s="47" t="s">
        <v>55</v>
      </c>
      <c r="B40" s="6" t="s">
        <v>50</v>
      </c>
      <c r="C40" s="47" t="s">
        <v>14</v>
      </c>
      <c r="D40" s="48">
        <v>10</v>
      </c>
      <c r="E40" s="48">
        <v>10</v>
      </c>
      <c r="F40" s="48">
        <v>10</v>
      </c>
      <c r="G40" s="48">
        <v>9</v>
      </c>
    </row>
  </sheetData>
  <mergeCells count="2">
    <mergeCell ref="A1:G1"/>
    <mergeCell ref="A2:G2"/>
  </mergeCells>
  <printOptions horizontalCentered="1"/>
  <pageMargins left="0.4" right="0.5" top="0.75" bottom="0.75" header="0.3" footer="0.3"/>
  <pageSetup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59EDC-ECE4-4535-AADE-ADBE1B60A430}">
  <sheetPr>
    <tabColor theme="9" tint="-0.249977111117893"/>
  </sheetPr>
  <dimension ref="A1:I9"/>
  <sheetViews>
    <sheetView zoomScaleNormal="100" workbookViewId="0">
      <selection activeCell="F8" sqref="F8"/>
    </sheetView>
  </sheetViews>
  <sheetFormatPr defaultColWidth="9.109375" defaultRowHeight="14.4" x14ac:dyDescent="0.3"/>
  <cols>
    <col min="1" max="1" width="24.6640625" style="41" customWidth="1"/>
    <col min="2" max="6" width="10" style="41" customWidth="1"/>
    <col min="7" max="7" width="12" style="41" customWidth="1"/>
    <col min="8" max="8" width="14.5546875" style="41" bestFit="1" customWidth="1"/>
    <col min="9" max="9" width="15.6640625" style="41" bestFit="1" customWidth="1"/>
    <col min="10" max="16384" width="9.109375" style="41"/>
  </cols>
  <sheetData>
    <row r="1" spans="1:9" ht="31.2" x14ac:dyDescent="0.6">
      <c r="A1" s="4" t="s">
        <v>0</v>
      </c>
      <c r="B1" s="4"/>
      <c r="C1" s="4"/>
      <c r="D1" s="4"/>
      <c r="E1" s="44"/>
      <c r="F1" s="44"/>
      <c r="G1" s="44"/>
      <c r="H1" s="44"/>
      <c r="I1" s="44"/>
    </row>
    <row r="2" spans="1:9" ht="21" x14ac:dyDescent="0.4">
      <c r="A2" s="3" t="s">
        <v>56</v>
      </c>
      <c r="B2" s="3"/>
      <c r="C2" s="3"/>
      <c r="D2" s="3"/>
      <c r="E2" s="44"/>
      <c r="F2" s="44"/>
      <c r="G2" s="44"/>
      <c r="H2" s="44"/>
      <c r="I2" s="44"/>
    </row>
    <row r="4" spans="1:9" ht="35.25" customHeight="1" x14ac:dyDescent="0.3">
      <c r="A4" s="20" t="s">
        <v>3</v>
      </c>
      <c r="B4" s="20" t="s">
        <v>6</v>
      </c>
      <c r="C4" s="21" t="s">
        <v>7</v>
      </c>
      <c r="D4" s="21" t="s">
        <v>8</v>
      </c>
      <c r="E4" s="39" t="s">
        <v>57</v>
      </c>
      <c r="F4" s="39" t="s">
        <v>58</v>
      </c>
      <c r="G4" s="44"/>
      <c r="H4" s="64" t="s">
        <v>59</v>
      </c>
      <c r="I4" s="64"/>
    </row>
    <row r="5" spans="1:9" ht="15.6" x14ac:dyDescent="0.3">
      <c r="A5" s="6" t="s">
        <v>10</v>
      </c>
      <c r="B5" s="48">
        <f>DAVERAGE(Survey,B$4,Criteria!$A$1:$A$2)</f>
        <v>7.75</v>
      </c>
      <c r="C5" s="48">
        <f>DAVERAGE(Survey,C$4,Criteria!$A$1:$A$2)</f>
        <v>8.625</v>
      </c>
      <c r="D5" s="48">
        <f>DAVERAGE(Survey,D$4,Criteria!$A$1:$A$2)</f>
        <v>8.75</v>
      </c>
      <c r="E5" s="47">
        <f t="shared" ref="E5:E9" si="0">AVERAGE(B5:D5)</f>
        <v>8.375</v>
      </c>
      <c r="F5" s="47" t="str" cm="1">
        <f t="array" ref="F5">_xlfn.IFS(E5&gt;=9,$H$5,E5&gt;=8,$H$6,E5&gt;=5,$H$7,E5&lt;5,$H$8)</f>
        <v>Above Average</v>
      </c>
      <c r="G5" s="44"/>
      <c r="H5" s="47" t="s">
        <v>60</v>
      </c>
      <c r="I5" s="49" t="s">
        <v>61</v>
      </c>
    </row>
    <row r="6" spans="1:9" ht="15.6" x14ac:dyDescent="0.3">
      <c r="A6" s="6" t="s">
        <v>21</v>
      </c>
      <c r="B6" s="48">
        <f>DAVERAGE(Survey,B$4,Criteria!$A$4:$A$5)</f>
        <v>7.5</v>
      </c>
      <c r="C6" s="48">
        <f>DAVERAGE(Survey,C$4,Criteria!$A$4:$A$5)</f>
        <v>5.333333333333333</v>
      </c>
      <c r="D6" s="48">
        <f>DAVERAGE(Survey,D$4,Criteria!$A$4:$A$5)</f>
        <v>7.5</v>
      </c>
      <c r="E6" s="47">
        <f t="shared" si="0"/>
        <v>6.7777777777777777</v>
      </c>
      <c r="F6" s="47" t="str" cm="1">
        <f t="array" ref="F6">_xlfn.IFS(E6&gt;=9,$H$5,E6&gt;=8,$H$6,E6&gt;=5,$H$7,E6&lt;5,$H$8)</f>
        <v>Average</v>
      </c>
      <c r="G6" s="44"/>
      <c r="H6" s="47" t="s">
        <v>62</v>
      </c>
      <c r="I6" s="50" t="s">
        <v>63</v>
      </c>
    </row>
    <row r="7" spans="1:9" ht="15.6" x14ac:dyDescent="0.3">
      <c r="A7" s="6" t="s">
        <v>30</v>
      </c>
      <c r="B7" s="48">
        <f>DAVERAGE(Survey,B$4,Criteria!$A$7:$A$8)</f>
        <v>4.9000000000000004</v>
      </c>
      <c r="C7" s="48">
        <f>DAVERAGE(Survey,C$4,Criteria!$A$7:$A$8)</f>
        <v>3.3</v>
      </c>
      <c r="D7" s="48">
        <f>DAVERAGE(Survey,D$4,Criteria!$A$7:$A$8)</f>
        <v>5.5</v>
      </c>
      <c r="E7" s="47">
        <f t="shared" si="0"/>
        <v>4.5666666666666664</v>
      </c>
      <c r="F7" s="47" t="str" cm="1">
        <f t="array" ref="F7">_xlfn.IFS(E7&gt;=9,$H$5,E7&gt;=8,$H$6,E7&gt;=5,$H$7,E7&lt;5,$H$8)</f>
        <v>Poor</v>
      </c>
      <c r="G7" s="44"/>
      <c r="H7" s="47" t="s">
        <v>64</v>
      </c>
      <c r="I7" s="49" t="s">
        <v>65</v>
      </c>
    </row>
    <row r="8" spans="1:9" ht="15.6" x14ac:dyDescent="0.3">
      <c r="A8" s="6" t="s">
        <v>43</v>
      </c>
      <c r="B8" s="48">
        <f>DAVERAGE(Survey,B$4,Criteria!$A$10:$A$11)</f>
        <v>6.666666666666667</v>
      </c>
      <c r="C8" s="48">
        <f>DAVERAGE(Survey,C$4,Criteria!$A$10:$A$11)</f>
        <v>5</v>
      </c>
      <c r="D8" s="48">
        <f>DAVERAGE(Survey,D$4,Criteria!$A$10:$A$11)</f>
        <v>6.5</v>
      </c>
      <c r="E8" s="47">
        <f t="shared" si="0"/>
        <v>6.0555555555555562</v>
      </c>
      <c r="F8" s="47" t="str" cm="1">
        <f t="array" ref="F8">_xlfn.IFS(E8&gt;=9,$H$5,E8&gt;=8,$H$6,E8&gt;=5,$H$7,E8&lt;5,$H$8)</f>
        <v>Average</v>
      </c>
      <c r="G8" s="44"/>
      <c r="H8" s="47" t="s">
        <v>66</v>
      </c>
      <c r="I8" s="49" t="s">
        <v>67</v>
      </c>
    </row>
    <row r="9" spans="1:9" ht="15.6" x14ac:dyDescent="0.3">
      <c r="A9" s="6" t="s">
        <v>50</v>
      </c>
      <c r="B9" s="48">
        <f>DAVERAGE(Survey,B$4,Criteria!$A$13:$A$14)</f>
        <v>9.1666666666666661</v>
      </c>
      <c r="C9" s="48">
        <f>DAVERAGE(Survey,C$4,Criteria!$A$13:$A$14)</f>
        <v>9.5</v>
      </c>
      <c r="D9" s="48">
        <f>DAVERAGE(Survey,D$4,Criteria!$A$13:$A$14)</f>
        <v>8.8333333333333339</v>
      </c>
      <c r="E9" s="47">
        <f t="shared" si="0"/>
        <v>9.1666666666666661</v>
      </c>
      <c r="F9" s="47" t="str" cm="1">
        <f t="array" ref="F9">_xlfn.IFS(E9&gt;=9,$H$5,E9&gt;=8,$H$6,E9&gt;=5,$H$7,E9&lt;5,$H$8)</f>
        <v>Excellent</v>
      </c>
      <c r="G9" s="44"/>
      <c r="H9" s="44"/>
      <c r="I9" s="44"/>
    </row>
  </sheetData>
  <mergeCells count="1">
    <mergeCell ref="H4:I4"/>
  </mergeCells>
  <printOptions horizontalCentered="1"/>
  <pageMargins left="0.4" right="0.5" top="0.75" bottom="0.75" header="0.3" footer="0.3"/>
  <pageSetup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6D50-10B7-4F3B-AB82-494558000AA1}">
  <sheetPr>
    <tabColor theme="9" tint="-0.499984740745262"/>
  </sheetPr>
  <dimension ref="A1:D14"/>
  <sheetViews>
    <sheetView workbookViewId="0">
      <selection activeCell="E15" sqref="E15"/>
    </sheetView>
  </sheetViews>
  <sheetFormatPr defaultColWidth="9.109375" defaultRowHeight="14.4" x14ac:dyDescent="0.3"/>
  <cols>
    <col min="1" max="16384" width="9.109375" style="41"/>
  </cols>
  <sheetData>
    <row r="1" spans="1:4" ht="41.25" customHeight="1" x14ac:dyDescent="0.3">
      <c r="A1" s="2" t="s">
        <v>3</v>
      </c>
      <c r="B1" s="2" t="s">
        <v>4</v>
      </c>
      <c r="C1" s="2" t="s">
        <v>5</v>
      </c>
      <c r="D1" s="2" t="s">
        <v>68</v>
      </c>
    </row>
    <row r="2" spans="1:4" x14ac:dyDescent="0.3">
      <c r="A2" s="44" t="s">
        <v>69</v>
      </c>
      <c r="B2" s="44"/>
      <c r="C2" s="44"/>
      <c r="D2" s="44"/>
    </row>
    <row r="4" spans="1:4" ht="15.6" x14ac:dyDescent="0.3">
      <c r="A4" s="2" t="s">
        <v>3</v>
      </c>
      <c r="B4" s="2" t="s">
        <v>4</v>
      </c>
      <c r="C4" s="2" t="s">
        <v>5</v>
      </c>
      <c r="D4" s="2" t="s">
        <v>68</v>
      </c>
    </row>
    <row r="5" spans="1:4" x14ac:dyDescent="0.3">
      <c r="A5" s="44" t="s">
        <v>70</v>
      </c>
      <c r="B5" s="44"/>
      <c r="C5" s="44"/>
      <c r="D5" s="44"/>
    </row>
    <row r="7" spans="1:4" ht="15.6" x14ac:dyDescent="0.3">
      <c r="A7" s="2" t="s">
        <v>3</v>
      </c>
      <c r="B7" s="2" t="s">
        <v>4</v>
      </c>
      <c r="C7" s="2" t="s">
        <v>5</v>
      </c>
      <c r="D7" s="2" t="s">
        <v>68</v>
      </c>
    </row>
    <row r="8" spans="1:4" x14ac:dyDescent="0.3">
      <c r="A8" s="44" t="s">
        <v>71</v>
      </c>
      <c r="B8" s="44"/>
      <c r="C8" s="44"/>
      <c r="D8" s="44"/>
    </row>
    <row r="10" spans="1:4" ht="15.6" x14ac:dyDescent="0.3">
      <c r="A10" s="2" t="s">
        <v>3</v>
      </c>
      <c r="B10" s="2" t="s">
        <v>4</v>
      </c>
      <c r="C10" s="2" t="s">
        <v>5</v>
      </c>
      <c r="D10" s="2" t="s">
        <v>68</v>
      </c>
    </row>
    <row r="11" spans="1:4" x14ac:dyDescent="0.3">
      <c r="A11" s="44" t="s">
        <v>72</v>
      </c>
      <c r="B11" s="44"/>
      <c r="C11" s="44"/>
      <c r="D11" s="44"/>
    </row>
    <row r="13" spans="1:4" ht="15.6" x14ac:dyDescent="0.3">
      <c r="A13" s="2" t="s">
        <v>3</v>
      </c>
      <c r="B13" s="2" t="s">
        <v>4</v>
      </c>
      <c r="C13" s="2" t="s">
        <v>5</v>
      </c>
      <c r="D13" s="2" t="s">
        <v>68</v>
      </c>
    </row>
    <row r="14" spans="1:4" x14ac:dyDescent="0.3">
      <c r="A14" s="44" t="s">
        <v>73</v>
      </c>
      <c r="B14" s="44"/>
      <c r="C14" s="44"/>
      <c r="D14" s="44"/>
    </row>
  </sheetData>
  <printOptions horizontalCentered="1"/>
  <pageMargins left="0.4" right="0.5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BD4D0-8E8C-415C-A353-4065559E062B}">
  <sheetPr>
    <tabColor theme="5" tint="0.39997558519241921"/>
  </sheetPr>
  <dimension ref="A1:E40"/>
  <sheetViews>
    <sheetView tabSelected="1" zoomScaleNormal="100" workbookViewId="0">
      <selection activeCell="C35" sqref="C35"/>
    </sheetView>
  </sheetViews>
  <sheetFormatPr defaultColWidth="9.109375" defaultRowHeight="14.4" x14ac:dyDescent="0.3"/>
  <cols>
    <col min="1" max="1" width="11" style="5" customWidth="1"/>
    <col min="2" max="2" width="14.6640625" style="5" customWidth="1"/>
    <col min="3" max="4" width="10.33203125" style="5" customWidth="1"/>
    <col min="5" max="5" width="12" style="5" customWidth="1"/>
    <col min="6" max="6" width="9.109375" style="5"/>
    <col min="7" max="7" width="14.5546875" style="5" bestFit="1" customWidth="1"/>
    <col min="8" max="8" width="12.5546875" style="5" customWidth="1"/>
    <col min="9" max="16384" width="9.109375" style="5"/>
  </cols>
  <sheetData>
    <row r="1" spans="1:5" ht="21" x14ac:dyDescent="0.4">
      <c r="A1" s="65" t="s">
        <v>0</v>
      </c>
      <c r="B1" s="66"/>
      <c r="C1" s="66"/>
      <c r="D1" s="66"/>
      <c r="E1" s="67"/>
    </row>
    <row r="2" spans="1:5" ht="21" x14ac:dyDescent="0.4">
      <c r="A2" s="68" t="s">
        <v>74</v>
      </c>
      <c r="B2" s="69"/>
      <c r="C2" s="69"/>
      <c r="D2" s="69"/>
      <c r="E2" s="70"/>
    </row>
    <row r="3" spans="1:5" x14ac:dyDescent="0.3">
      <c r="A3" s="45"/>
      <c r="B3" s="46"/>
      <c r="C3" s="46"/>
      <c r="D3" s="46"/>
      <c r="E3" s="51"/>
    </row>
    <row r="4" spans="1:5" ht="29.25" customHeight="1" x14ac:dyDescent="0.3">
      <c r="A4" s="36" t="s">
        <v>75</v>
      </c>
      <c r="B4" s="37" t="s">
        <v>76</v>
      </c>
      <c r="C4" s="37" t="s">
        <v>77</v>
      </c>
      <c r="D4" s="38" t="s">
        <v>78</v>
      </c>
      <c r="E4" s="38" t="s">
        <v>79</v>
      </c>
    </row>
    <row r="5" spans="1:5" x14ac:dyDescent="0.3">
      <c r="A5" s="47" t="s">
        <v>80</v>
      </c>
      <c r="B5" s="35">
        <f ca="1">TODAY()</f>
        <v>45400</v>
      </c>
      <c r="C5" s="35">
        <f ca="1">B5+4</f>
        <v>45404</v>
      </c>
      <c r="D5" s="19">
        <f ca="1">C5-B5</f>
        <v>4</v>
      </c>
      <c r="E5" s="47" t="str">
        <f ca="1">TEXT(C5,"dddd")</f>
        <v>Monday</v>
      </c>
    </row>
    <row r="6" spans="1:5" x14ac:dyDescent="0.3">
      <c r="A6" s="47" t="s">
        <v>81</v>
      </c>
      <c r="B6" s="35">
        <f ca="1">B5+2</f>
        <v>45402</v>
      </c>
      <c r="C6" s="35">
        <f ca="1">B6+3</f>
        <v>45405</v>
      </c>
      <c r="D6" s="19">
        <f t="shared" ref="D6:D40" ca="1" si="0">C6-B6</f>
        <v>3</v>
      </c>
      <c r="E6" s="47" t="str">
        <f t="shared" ref="E6:E40" ca="1" si="1">TEXT(C6,"dddd")</f>
        <v>Tuesday</v>
      </c>
    </row>
    <row r="7" spans="1:5" x14ac:dyDescent="0.3">
      <c r="A7" s="47" t="s">
        <v>82</v>
      </c>
      <c r="B7" s="35">
        <f t="shared" ref="B7" ca="1" si="2">TODAY()</f>
        <v>45400</v>
      </c>
      <c r="C7" s="35">
        <f ca="1">B7+6</f>
        <v>45406</v>
      </c>
      <c r="D7" s="19">
        <f t="shared" ca="1" si="0"/>
        <v>6</v>
      </c>
      <c r="E7" s="47" t="str">
        <f t="shared" ca="1" si="1"/>
        <v>Wednesday</v>
      </c>
    </row>
    <row r="8" spans="1:5" x14ac:dyDescent="0.3">
      <c r="A8" s="47" t="s">
        <v>83</v>
      </c>
      <c r="B8" s="35">
        <f t="shared" ref="B8" ca="1" si="3">B7+2</f>
        <v>45402</v>
      </c>
      <c r="C8" s="35">
        <f ca="1">B8+4</f>
        <v>45406</v>
      </c>
      <c r="D8" s="19">
        <f t="shared" ca="1" si="0"/>
        <v>4</v>
      </c>
      <c r="E8" s="47" t="str">
        <f t="shared" ca="1" si="1"/>
        <v>Wednesday</v>
      </c>
    </row>
    <row r="9" spans="1:5" x14ac:dyDescent="0.3">
      <c r="A9" s="47" t="s">
        <v>84</v>
      </c>
      <c r="B9" s="35">
        <f t="shared" ref="B9" ca="1" si="4">TODAY()</f>
        <v>45400</v>
      </c>
      <c r="C9" s="35">
        <f ca="1">B9+3</f>
        <v>45403</v>
      </c>
      <c r="D9" s="19">
        <f t="shared" ca="1" si="0"/>
        <v>3</v>
      </c>
      <c r="E9" s="47" t="str">
        <f t="shared" ca="1" si="1"/>
        <v>Sunday</v>
      </c>
    </row>
    <row r="10" spans="1:5" x14ac:dyDescent="0.3">
      <c r="A10" s="47" t="s">
        <v>85</v>
      </c>
      <c r="B10" s="35">
        <f t="shared" ref="B10" ca="1" si="5">B9+2</f>
        <v>45402</v>
      </c>
      <c r="C10" s="35">
        <f ca="1">B10+7</f>
        <v>45409</v>
      </c>
      <c r="D10" s="19">
        <f t="shared" ca="1" si="0"/>
        <v>7</v>
      </c>
      <c r="E10" s="47" t="str">
        <f t="shared" ca="1" si="1"/>
        <v>Saturday</v>
      </c>
    </row>
    <row r="11" spans="1:5" x14ac:dyDescent="0.3">
      <c r="A11" s="47" t="s">
        <v>86</v>
      </c>
      <c r="B11" s="35">
        <f t="shared" ref="B11" ca="1" si="6">TODAY()</f>
        <v>45400</v>
      </c>
      <c r="C11" s="35">
        <f ca="1">B11+3</f>
        <v>45403</v>
      </c>
      <c r="D11" s="19">
        <f t="shared" ca="1" si="0"/>
        <v>3</v>
      </c>
      <c r="E11" s="47" t="str">
        <f t="shared" ca="1" si="1"/>
        <v>Sunday</v>
      </c>
    </row>
    <row r="12" spans="1:5" x14ac:dyDescent="0.3">
      <c r="A12" s="47" t="s">
        <v>87</v>
      </c>
      <c r="B12" s="35">
        <f t="shared" ref="B12" ca="1" si="7">B11+2</f>
        <v>45402</v>
      </c>
      <c r="C12" s="35">
        <f ca="1">B12+6</f>
        <v>45408</v>
      </c>
      <c r="D12" s="19">
        <f t="shared" ca="1" si="0"/>
        <v>6</v>
      </c>
      <c r="E12" s="47" t="str">
        <f t="shared" ca="1" si="1"/>
        <v>Friday</v>
      </c>
    </row>
    <row r="13" spans="1:5" x14ac:dyDescent="0.3">
      <c r="A13" s="47" t="s">
        <v>88</v>
      </c>
      <c r="B13" s="35">
        <f t="shared" ref="B13" ca="1" si="8">TODAY()</f>
        <v>45400</v>
      </c>
      <c r="C13" s="35">
        <f ca="1">B13+3</f>
        <v>45403</v>
      </c>
      <c r="D13" s="19">
        <f t="shared" ca="1" si="0"/>
        <v>3</v>
      </c>
      <c r="E13" s="47" t="str">
        <f t="shared" ca="1" si="1"/>
        <v>Sunday</v>
      </c>
    </row>
    <row r="14" spans="1:5" x14ac:dyDescent="0.3">
      <c r="A14" s="47" t="s">
        <v>89</v>
      </c>
      <c r="B14" s="35">
        <f t="shared" ref="B14" ca="1" si="9">B13+2</f>
        <v>45402</v>
      </c>
      <c r="C14" s="35">
        <f ca="1">B14+6</f>
        <v>45408</v>
      </c>
      <c r="D14" s="19">
        <f t="shared" ca="1" si="0"/>
        <v>6</v>
      </c>
      <c r="E14" s="47" t="str">
        <f t="shared" ca="1" si="1"/>
        <v>Friday</v>
      </c>
    </row>
    <row r="15" spans="1:5" x14ac:dyDescent="0.3">
      <c r="A15" s="47" t="s">
        <v>90</v>
      </c>
      <c r="B15" s="35">
        <f t="shared" ref="B15" ca="1" si="10">TODAY()</f>
        <v>45400</v>
      </c>
      <c r="C15" s="35">
        <f ca="1">B15+4</f>
        <v>45404</v>
      </c>
      <c r="D15" s="19">
        <f t="shared" ca="1" si="0"/>
        <v>4</v>
      </c>
      <c r="E15" s="47" t="str">
        <f t="shared" ca="1" si="1"/>
        <v>Monday</v>
      </c>
    </row>
    <row r="16" spans="1:5" x14ac:dyDescent="0.3">
      <c r="A16" s="47" t="s">
        <v>91</v>
      </c>
      <c r="B16" s="35">
        <f t="shared" ref="B16" ca="1" si="11">B15+2</f>
        <v>45402</v>
      </c>
      <c r="C16" s="35">
        <f ca="1">B16+3</f>
        <v>45405</v>
      </c>
      <c r="D16" s="19">
        <f t="shared" ca="1" si="0"/>
        <v>3</v>
      </c>
      <c r="E16" s="47" t="str">
        <f t="shared" ca="1" si="1"/>
        <v>Tuesday</v>
      </c>
    </row>
    <row r="17" spans="1:5" x14ac:dyDescent="0.3">
      <c r="A17" s="47" t="s">
        <v>92</v>
      </c>
      <c r="B17" s="35">
        <f t="shared" ref="B17" ca="1" si="12">TODAY()</f>
        <v>45400</v>
      </c>
      <c r="C17" s="35">
        <f ca="1">B17+5</f>
        <v>45405</v>
      </c>
      <c r="D17" s="19">
        <f t="shared" ca="1" si="0"/>
        <v>5</v>
      </c>
      <c r="E17" s="47" t="str">
        <f t="shared" ca="1" si="1"/>
        <v>Tuesday</v>
      </c>
    </row>
    <row r="18" spans="1:5" x14ac:dyDescent="0.3">
      <c r="A18" s="47" t="s">
        <v>93</v>
      </c>
      <c r="B18" s="35">
        <f t="shared" ref="B18" ca="1" si="13">B17+2</f>
        <v>45402</v>
      </c>
      <c r="C18" s="35">
        <f ca="1">B18+6</f>
        <v>45408</v>
      </c>
      <c r="D18" s="19">
        <f t="shared" ca="1" si="0"/>
        <v>6</v>
      </c>
      <c r="E18" s="47" t="str">
        <f t="shared" ca="1" si="1"/>
        <v>Friday</v>
      </c>
    </row>
    <row r="19" spans="1:5" x14ac:dyDescent="0.3">
      <c r="A19" s="47" t="s">
        <v>94</v>
      </c>
      <c r="B19" s="35">
        <f t="shared" ref="B19" ca="1" si="14">TODAY()</f>
        <v>45400</v>
      </c>
      <c r="C19" s="35">
        <f ca="1">B19+2</f>
        <v>45402</v>
      </c>
      <c r="D19" s="19">
        <f t="shared" ca="1" si="0"/>
        <v>2</v>
      </c>
      <c r="E19" s="47" t="str">
        <f t="shared" ca="1" si="1"/>
        <v>Saturday</v>
      </c>
    </row>
    <row r="20" spans="1:5" x14ac:dyDescent="0.3">
      <c r="A20" s="47" t="s">
        <v>95</v>
      </c>
      <c r="B20" s="35">
        <f t="shared" ref="B20" ca="1" si="15">B19+2</f>
        <v>45402</v>
      </c>
      <c r="C20" s="35">
        <f ca="1">B20+5</f>
        <v>45407</v>
      </c>
      <c r="D20" s="19">
        <f t="shared" ca="1" si="0"/>
        <v>5</v>
      </c>
      <c r="E20" s="47" t="str">
        <f t="shared" ca="1" si="1"/>
        <v>Thursday</v>
      </c>
    </row>
    <row r="21" spans="1:5" x14ac:dyDescent="0.3">
      <c r="A21" s="47" t="s">
        <v>96</v>
      </c>
      <c r="B21" s="35">
        <f t="shared" ref="B21" ca="1" si="16">TODAY()</f>
        <v>45400</v>
      </c>
      <c r="C21" s="35">
        <f ca="1">B21+3</f>
        <v>45403</v>
      </c>
      <c r="D21" s="19">
        <f t="shared" ca="1" si="0"/>
        <v>3</v>
      </c>
      <c r="E21" s="47" t="str">
        <f t="shared" ca="1" si="1"/>
        <v>Sunday</v>
      </c>
    </row>
    <row r="22" spans="1:5" x14ac:dyDescent="0.3">
      <c r="A22" s="47" t="s">
        <v>97</v>
      </c>
      <c r="B22" s="35">
        <f t="shared" ref="B22" ca="1" si="17">B21+2</f>
        <v>45402</v>
      </c>
      <c r="C22" s="35">
        <f ca="1">B22+3</f>
        <v>45405</v>
      </c>
      <c r="D22" s="19">
        <f t="shared" ca="1" si="0"/>
        <v>3</v>
      </c>
      <c r="E22" s="47" t="str">
        <f t="shared" ca="1" si="1"/>
        <v>Tuesday</v>
      </c>
    </row>
    <row r="23" spans="1:5" x14ac:dyDescent="0.3">
      <c r="A23" s="47" t="s">
        <v>98</v>
      </c>
      <c r="B23" s="35">
        <f t="shared" ref="B23" ca="1" si="18">TODAY()</f>
        <v>45400</v>
      </c>
      <c r="C23" s="35">
        <f ca="1">B23+5</f>
        <v>45405</v>
      </c>
      <c r="D23" s="19">
        <f t="shared" ca="1" si="0"/>
        <v>5</v>
      </c>
      <c r="E23" s="47" t="str">
        <f t="shared" ca="1" si="1"/>
        <v>Tuesday</v>
      </c>
    </row>
    <row r="24" spans="1:5" x14ac:dyDescent="0.3">
      <c r="A24" s="47" t="s">
        <v>99</v>
      </c>
      <c r="B24" s="35">
        <f t="shared" ref="B24" ca="1" si="19">B23+2</f>
        <v>45402</v>
      </c>
      <c r="C24" s="35">
        <f ca="1">B24+7</f>
        <v>45409</v>
      </c>
      <c r="D24" s="19">
        <f t="shared" ca="1" si="0"/>
        <v>7</v>
      </c>
      <c r="E24" s="47" t="str">
        <f t="shared" ca="1" si="1"/>
        <v>Saturday</v>
      </c>
    </row>
    <row r="25" spans="1:5" x14ac:dyDescent="0.3">
      <c r="A25" s="47" t="s">
        <v>100</v>
      </c>
      <c r="B25" s="35">
        <f t="shared" ref="B25" ca="1" si="20">TODAY()</f>
        <v>45400</v>
      </c>
      <c r="C25" s="35">
        <f ca="1">B25+6</f>
        <v>45406</v>
      </c>
      <c r="D25" s="19">
        <f t="shared" ca="1" si="0"/>
        <v>6</v>
      </c>
      <c r="E25" s="47" t="str">
        <f t="shared" ca="1" si="1"/>
        <v>Wednesday</v>
      </c>
    </row>
    <row r="26" spans="1:5" x14ac:dyDescent="0.3">
      <c r="A26" s="47" t="s">
        <v>101</v>
      </c>
      <c r="B26" s="35">
        <f t="shared" ref="B26" ca="1" si="21">B25+2</f>
        <v>45402</v>
      </c>
      <c r="C26" s="35">
        <f ca="1">B26+5</f>
        <v>45407</v>
      </c>
      <c r="D26" s="19">
        <f t="shared" ca="1" si="0"/>
        <v>5</v>
      </c>
      <c r="E26" s="47" t="str">
        <f t="shared" ca="1" si="1"/>
        <v>Thursday</v>
      </c>
    </row>
    <row r="27" spans="1:5" x14ac:dyDescent="0.3">
      <c r="A27" s="47" t="s">
        <v>102</v>
      </c>
      <c r="B27" s="35">
        <f t="shared" ref="B27" ca="1" si="22">TODAY()</f>
        <v>45400</v>
      </c>
      <c r="C27" s="35">
        <f ca="1">B27+5</f>
        <v>45405</v>
      </c>
      <c r="D27" s="19">
        <f t="shared" ca="1" si="0"/>
        <v>5</v>
      </c>
      <c r="E27" s="47" t="str">
        <f t="shared" ca="1" si="1"/>
        <v>Tuesday</v>
      </c>
    </row>
    <row r="28" spans="1:5" x14ac:dyDescent="0.3">
      <c r="A28" s="47" t="s">
        <v>103</v>
      </c>
      <c r="B28" s="35">
        <f t="shared" ref="B28" ca="1" si="23">B27+2</f>
        <v>45402</v>
      </c>
      <c r="C28" s="35">
        <f ca="1">B28+7</f>
        <v>45409</v>
      </c>
      <c r="D28" s="19">
        <f t="shared" ca="1" si="0"/>
        <v>7</v>
      </c>
      <c r="E28" s="47" t="str">
        <f t="shared" ca="1" si="1"/>
        <v>Saturday</v>
      </c>
    </row>
    <row r="29" spans="1:5" x14ac:dyDescent="0.3">
      <c r="A29" s="47" t="s">
        <v>104</v>
      </c>
      <c r="B29" s="35">
        <f t="shared" ref="B29" ca="1" si="24">TODAY()</f>
        <v>45400</v>
      </c>
      <c r="C29" s="35">
        <f ca="1">B29+5</f>
        <v>45405</v>
      </c>
      <c r="D29" s="19">
        <f t="shared" ca="1" si="0"/>
        <v>5</v>
      </c>
      <c r="E29" s="47" t="str">
        <f t="shared" ca="1" si="1"/>
        <v>Tuesday</v>
      </c>
    </row>
    <row r="30" spans="1:5" x14ac:dyDescent="0.3">
      <c r="A30" s="47" t="s">
        <v>105</v>
      </c>
      <c r="B30" s="35">
        <f t="shared" ref="B30" ca="1" si="25">B29+2</f>
        <v>45402</v>
      </c>
      <c r="C30" s="35">
        <f ca="1">B30+4</f>
        <v>45406</v>
      </c>
      <c r="D30" s="19">
        <f t="shared" ca="1" si="0"/>
        <v>4</v>
      </c>
      <c r="E30" s="47" t="str">
        <f t="shared" ca="1" si="1"/>
        <v>Wednesday</v>
      </c>
    </row>
    <row r="31" spans="1:5" x14ac:dyDescent="0.3">
      <c r="A31" s="47" t="s">
        <v>106</v>
      </c>
      <c r="B31" s="35">
        <f t="shared" ref="B31" ca="1" si="26">TODAY()</f>
        <v>45400</v>
      </c>
      <c r="C31" s="35">
        <f ca="1">B31+6</f>
        <v>45406</v>
      </c>
      <c r="D31" s="19">
        <f t="shared" ca="1" si="0"/>
        <v>6</v>
      </c>
      <c r="E31" s="47" t="str">
        <f t="shared" ca="1" si="1"/>
        <v>Wednesday</v>
      </c>
    </row>
    <row r="32" spans="1:5" x14ac:dyDescent="0.3">
      <c r="A32" s="47" t="s">
        <v>107</v>
      </c>
      <c r="B32" s="35">
        <f t="shared" ref="B32" ca="1" si="27">B31+2</f>
        <v>45402</v>
      </c>
      <c r="C32" s="35">
        <f ca="1">B32+7</f>
        <v>45409</v>
      </c>
      <c r="D32" s="19">
        <f t="shared" ca="1" si="0"/>
        <v>7</v>
      </c>
      <c r="E32" s="47" t="str">
        <f t="shared" ca="1" si="1"/>
        <v>Saturday</v>
      </c>
    </row>
    <row r="33" spans="1:5" x14ac:dyDescent="0.3">
      <c r="A33" s="47" t="s">
        <v>108</v>
      </c>
      <c r="B33" s="35">
        <f t="shared" ref="B33" ca="1" si="28">TODAY()</f>
        <v>45400</v>
      </c>
      <c r="C33" s="35">
        <f ca="1">B33+7</f>
        <v>45407</v>
      </c>
      <c r="D33" s="19">
        <f t="shared" ca="1" si="0"/>
        <v>7</v>
      </c>
      <c r="E33" s="47" t="str">
        <f t="shared" ca="1" si="1"/>
        <v>Thursday</v>
      </c>
    </row>
    <row r="34" spans="1:5" x14ac:dyDescent="0.3">
      <c r="A34" s="47" t="s">
        <v>109</v>
      </c>
      <c r="B34" s="35">
        <f t="shared" ref="B34" ca="1" si="29">B33+2</f>
        <v>45402</v>
      </c>
      <c r="C34" s="35">
        <f ca="1">B34+6</f>
        <v>45408</v>
      </c>
      <c r="D34" s="19">
        <f t="shared" ca="1" si="0"/>
        <v>6</v>
      </c>
      <c r="E34" s="47" t="str">
        <f t="shared" ca="1" si="1"/>
        <v>Friday</v>
      </c>
    </row>
    <row r="35" spans="1:5" x14ac:dyDescent="0.3">
      <c r="A35" s="47" t="s">
        <v>110</v>
      </c>
      <c r="B35" s="35">
        <f t="shared" ref="B35" ca="1" si="30">TODAY()</f>
        <v>45400</v>
      </c>
      <c r="C35" s="35">
        <f ca="1">B35+3</f>
        <v>45403</v>
      </c>
      <c r="D35" s="19">
        <f t="shared" ca="1" si="0"/>
        <v>3</v>
      </c>
      <c r="E35" s="47" t="str">
        <f t="shared" ca="1" si="1"/>
        <v>Sunday</v>
      </c>
    </row>
    <row r="36" spans="1:5" x14ac:dyDescent="0.3">
      <c r="A36" s="47" t="s">
        <v>111</v>
      </c>
      <c r="B36" s="35">
        <f t="shared" ref="B36" ca="1" si="31">B35+2</f>
        <v>45402</v>
      </c>
      <c r="C36" s="35">
        <f ca="1">B36+6</f>
        <v>45408</v>
      </c>
      <c r="D36" s="19">
        <f t="shared" ca="1" si="0"/>
        <v>6</v>
      </c>
      <c r="E36" s="47" t="str">
        <f t="shared" ca="1" si="1"/>
        <v>Friday</v>
      </c>
    </row>
    <row r="37" spans="1:5" x14ac:dyDescent="0.3">
      <c r="A37" s="47" t="s">
        <v>112</v>
      </c>
      <c r="B37" s="35">
        <f t="shared" ref="B37" ca="1" si="32">TODAY()</f>
        <v>45400</v>
      </c>
      <c r="C37" s="35">
        <f ca="1">B37+2</f>
        <v>45402</v>
      </c>
      <c r="D37" s="19">
        <f t="shared" ca="1" si="0"/>
        <v>2</v>
      </c>
      <c r="E37" s="47" t="str">
        <f t="shared" ca="1" si="1"/>
        <v>Saturday</v>
      </c>
    </row>
    <row r="38" spans="1:5" x14ac:dyDescent="0.3">
      <c r="A38" s="47" t="s">
        <v>113</v>
      </c>
      <c r="B38" s="35">
        <f t="shared" ref="B38" ca="1" si="33">B37+2</f>
        <v>45402</v>
      </c>
      <c r="C38" s="35">
        <f ca="1">B38+2</f>
        <v>45404</v>
      </c>
      <c r="D38" s="19">
        <f t="shared" ca="1" si="0"/>
        <v>2</v>
      </c>
      <c r="E38" s="47" t="str">
        <f t="shared" ca="1" si="1"/>
        <v>Monday</v>
      </c>
    </row>
    <row r="39" spans="1:5" x14ac:dyDescent="0.3">
      <c r="A39" s="47" t="s">
        <v>114</v>
      </c>
      <c r="B39" s="35">
        <f t="shared" ref="B39" ca="1" si="34">TODAY()</f>
        <v>45400</v>
      </c>
      <c r="C39" s="35">
        <f ca="1">B39+6</f>
        <v>45406</v>
      </c>
      <c r="D39" s="19">
        <f t="shared" ca="1" si="0"/>
        <v>6</v>
      </c>
      <c r="E39" s="47" t="str">
        <f t="shared" ca="1" si="1"/>
        <v>Wednesday</v>
      </c>
    </row>
    <row r="40" spans="1:5" x14ac:dyDescent="0.3">
      <c r="A40" s="47" t="s">
        <v>115</v>
      </c>
      <c r="B40" s="35">
        <f t="shared" ref="B40" ca="1" si="35">B39+2</f>
        <v>45402</v>
      </c>
      <c r="C40" s="35">
        <f ca="1">B40+7</f>
        <v>45409</v>
      </c>
      <c r="D40" s="19">
        <f t="shared" ca="1" si="0"/>
        <v>7</v>
      </c>
      <c r="E40" s="47" t="str">
        <f t="shared" ca="1" si="1"/>
        <v>Saturday</v>
      </c>
    </row>
  </sheetData>
  <mergeCells count="2">
    <mergeCell ref="A1:E1"/>
    <mergeCell ref="A2:E2"/>
  </mergeCells>
  <printOptions horizontalCentered="1"/>
  <pageMargins left="0.4" right="0.5" top="0.75" bottom="0.75" header="0.3" footer="0.3"/>
  <pageSetup orientation="landscape" horizontalDpi="200" verticalDpi="200" r:id="rId1"/>
  <ignoredErrors>
    <ignoredError sqref="B6:B40 C10 C12 C28 C35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2BCEA-93FE-4F30-AAB6-BFBC66205015}">
  <sheetPr>
    <tabColor theme="5" tint="-0.499984740745262"/>
  </sheetPr>
  <dimension ref="A1:P50"/>
  <sheetViews>
    <sheetView showGridLines="0" zoomScaleNormal="100" workbookViewId="0">
      <selection activeCell="K6" sqref="K6"/>
    </sheetView>
  </sheetViews>
  <sheetFormatPr defaultColWidth="9.109375" defaultRowHeight="14.4" x14ac:dyDescent="0.3"/>
  <cols>
    <col min="1" max="1" width="21.109375" style="23" bestFit="1" customWidth="1"/>
    <col min="2" max="2" width="24.6640625" style="23" customWidth="1"/>
    <col min="3" max="3" width="6.6640625" style="23" bestFit="1" customWidth="1"/>
    <col min="4" max="4" width="7" style="23" customWidth="1"/>
    <col min="5" max="5" width="9.5546875" style="23" customWidth="1"/>
    <col min="6" max="6" width="11.33203125" style="23" customWidth="1"/>
    <col min="7" max="7" width="7.33203125" style="23" bestFit="1" customWidth="1"/>
    <col min="8" max="9" width="7.5546875" style="23" customWidth="1"/>
    <col min="10" max="10" width="19.5546875" style="23" customWidth="1"/>
    <col min="11" max="12" width="9.109375" style="23"/>
    <col min="13" max="13" width="7.6640625" style="23" customWidth="1"/>
    <col min="14" max="14" width="9.109375" style="23"/>
    <col min="15" max="15" width="18.44140625" style="23" customWidth="1"/>
    <col min="16" max="16384" width="9.109375" style="23"/>
  </cols>
  <sheetData>
    <row r="1" spans="1:16" ht="25.5" customHeight="1" x14ac:dyDescent="0.6">
      <c r="A1" s="33" t="s">
        <v>116</v>
      </c>
      <c r="B1" s="22"/>
      <c r="C1" s="22"/>
      <c r="D1" s="22"/>
      <c r="E1" s="22"/>
      <c r="F1" s="22"/>
      <c r="G1" s="22"/>
      <c r="H1" s="22"/>
      <c r="I1" s="52"/>
      <c r="J1" s="52"/>
      <c r="K1" s="52"/>
      <c r="L1" s="52"/>
      <c r="M1" s="52"/>
      <c r="N1" s="52"/>
      <c r="O1" s="52"/>
      <c r="P1" s="52"/>
    </row>
    <row r="2" spans="1:16" ht="21" x14ac:dyDescent="0.4">
      <c r="A2" s="24">
        <v>45930</v>
      </c>
      <c r="B2" s="25"/>
      <c r="C2" s="25"/>
      <c r="D2" s="25"/>
      <c r="E2" s="25"/>
      <c r="F2" s="25"/>
      <c r="G2" s="25"/>
      <c r="H2" s="25"/>
      <c r="I2" s="52"/>
      <c r="J2" s="52"/>
      <c r="K2" s="52"/>
      <c r="L2" s="52"/>
      <c r="M2" s="52"/>
      <c r="N2" s="52"/>
      <c r="O2" s="52"/>
      <c r="P2" s="52"/>
    </row>
    <row r="3" spans="1:16" ht="35.25" customHeight="1" x14ac:dyDescent="0.3">
      <c r="A3" s="26" t="s">
        <v>117</v>
      </c>
      <c r="B3" s="27" t="s">
        <v>3</v>
      </c>
      <c r="C3" s="27" t="s">
        <v>4</v>
      </c>
      <c r="D3" s="27" t="s">
        <v>5</v>
      </c>
      <c r="E3" s="27" t="s">
        <v>68</v>
      </c>
      <c r="F3" s="28" t="s">
        <v>118</v>
      </c>
      <c r="G3" s="27" t="s">
        <v>119</v>
      </c>
      <c r="H3" s="27" t="s">
        <v>120</v>
      </c>
      <c r="I3" s="52"/>
      <c r="J3" s="52"/>
      <c r="K3" s="52"/>
      <c r="L3" s="52"/>
      <c r="M3" s="52"/>
      <c r="N3" s="52"/>
      <c r="O3" s="52"/>
      <c r="P3" s="52"/>
    </row>
    <row r="4" spans="1:16" x14ac:dyDescent="0.3">
      <c r="A4" s="53" t="s">
        <v>121</v>
      </c>
      <c r="B4" s="53" t="s">
        <v>122</v>
      </c>
      <c r="C4" s="53" t="s">
        <v>123</v>
      </c>
      <c r="D4" s="53"/>
      <c r="E4" s="54">
        <v>4</v>
      </c>
      <c r="F4" s="53"/>
      <c r="G4" s="55">
        <v>65</v>
      </c>
      <c r="H4" s="55">
        <v>85</v>
      </c>
      <c r="I4" s="52"/>
      <c r="J4" s="52"/>
      <c r="K4" s="52"/>
      <c r="L4" s="52"/>
      <c r="M4" s="52"/>
      <c r="N4" s="52"/>
      <c r="O4" s="52"/>
      <c r="P4" s="52"/>
    </row>
    <row r="5" spans="1:16" x14ac:dyDescent="0.3">
      <c r="A5" s="53" t="s">
        <v>124</v>
      </c>
      <c r="B5" s="53" t="s">
        <v>122</v>
      </c>
      <c r="C5" s="53" t="s">
        <v>14</v>
      </c>
      <c r="D5" s="53"/>
      <c r="E5" s="54">
        <v>3</v>
      </c>
      <c r="F5" s="53"/>
      <c r="G5" s="55">
        <v>65</v>
      </c>
      <c r="H5" s="55">
        <v>85</v>
      </c>
      <c r="I5" s="52"/>
      <c r="J5" s="34" t="s">
        <v>117</v>
      </c>
      <c r="K5" s="42" t="s">
        <v>121</v>
      </c>
      <c r="L5" s="52"/>
      <c r="M5" s="52"/>
      <c r="N5" s="1"/>
      <c r="O5" s="1"/>
      <c r="P5" s="1"/>
    </row>
    <row r="6" spans="1:16" x14ac:dyDescent="0.3">
      <c r="A6" s="53" t="s">
        <v>125</v>
      </c>
      <c r="B6" s="53" t="s">
        <v>126</v>
      </c>
      <c r="C6" s="53" t="s">
        <v>14</v>
      </c>
      <c r="D6" s="54">
        <v>7.5</v>
      </c>
      <c r="E6" s="54">
        <v>4</v>
      </c>
      <c r="F6" s="54" t="s">
        <v>127</v>
      </c>
      <c r="G6" s="55">
        <v>55</v>
      </c>
      <c r="H6" s="55">
        <v>70</v>
      </c>
      <c r="I6" s="52"/>
      <c r="J6" s="34" t="s">
        <v>68</v>
      </c>
      <c r="K6" s="42" cm="1">
        <f t="array" ref="K6">INDEX(Inventory,_xlfn.XMATCH(K5,A3:A50),_xlfn.XMATCH("quantity",A3:H3))</f>
        <v>4</v>
      </c>
      <c r="L6" s="52"/>
      <c r="M6" s="52"/>
      <c r="N6" s="52"/>
      <c r="O6" s="52"/>
      <c r="P6" s="52"/>
    </row>
    <row r="7" spans="1:16" x14ac:dyDescent="0.3">
      <c r="A7" s="53" t="s">
        <v>128</v>
      </c>
      <c r="B7" s="53" t="s">
        <v>126</v>
      </c>
      <c r="C7" s="53" t="s">
        <v>14</v>
      </c>
      <c r="D7" s="54">
        <v>8.5</v>
      </c>
      <c r="E7" s="54">
        <v>3</v>
      </c>
      <c r="F7" s="54" t="s">
        <v>127</v>
      </c>
      <c r="G7" s="55">
        <v>55</v>
      </c>
      <c r="H7" s="55">
        <v>70</v>
      </c>
      <c r="I7" s="52"/>
      <c r="J7" s="52"/>
      <c r="K7" s="52"/>
      <c r="L7" s="52"/>
      <c r="M7" s="52"/>
      <c r="N7" s="52"/>
      <c r="O7" s="52"/>
      <c r="P7" s="52"/>
    </row>
    <row r="8" spans="1:16" x14ac:dyDescent="0.3">
      <c r="A8" s="53" t="s">
        <v>129</v>
      </c>
      <c r="B8" s="53" t="s">
        <v>126</v>
      </c>
      <c r="C8" s="53" t="s">
        <v>11</v>
      </c>
      <c r="D8" s="54">
        <v>8</v>
      </c>
      <c r="E8" s="54">
        <v>6</v>
      </c>
      <c r="F8" s="54" t="s">
        <v>127</v>
      </c>
      <c r="G8" s="55">
        <v>55</v>
      </c>
      <c r="H8" s="55">
        <v>70</v>
      </c>
      <c r="I8" s="52"/>
      <c r="J8" s="52"/>
      <c r="K8" s="52"/>
      <c r="L8" s="52"/>
      <c r="M8" s="52"/>
      <c r="N8" s="52"/>
      <c r="O8" s="52"/>
      <c r="P8" s="52"/>
    </row>
    <row r="9" spans="1:16" ht="15.6" x14ac:dyDescent="0.3">
      <c r="A9" s="53" t="s">
        <v>20</v>
      </c>
      <c r="B9" s="29" t="s">
        <v>21</v>
      </c>
      <c r="C9" s="53" t="s">
        <v>11</v>
      </c>
      <c r="D9" s="54">
        <v>8.5</v>
      </c>
      <c r="E9" s="54">
        <v>4</v>
      </c>
      <c r="F9" s="54" t="s">
        <v>130</v>
      </c>
      <c r="G9" s="55">
        <v>47.5</v>
      </c>
      <c r="H9" s="55">
        <v>65</v>
      </c>
      <c r="I9" s="52"/>
      <c r="J9" s="52"/>
      <c r="K9" s="52"/>
      <c r="L9" s="52"/>
      <c r="M9" s="52"/>
      <c r="N9" s="52"/>
      <c r="O9" s="52"/>
      <c r="P9" s="52"/>
    </row>
    <row r="10" spans="1:16" ht="15.6" x14ac:dyDescent="0.3">
      <c r="A10" s="53" t="s">
        <v>22</v>
      </c>
      <c r="B10" s="29" t="s">
        <v>21</v>
      </c>
      <c r="C10" s="53" t="s">
        <v>14</v>
      </c>
      <c r="D10" s="54">
        <v>9</v>
      </c>
      <c r="E10" s="54">
        <v>1</v>
      </c>
      <c r="F10" s="54" t="s">
        <v>130</v>
      </c>
      <c r="G10" s="55">
        <v>47.5</v>
      </c>
      <c r="H10" s="55">
        <v>65</v>
      </c>
      <c r="I10" s="52"/>
      <c r="J10" s="52"/>
      <c r="K10" s="52"/>
      <c r="L10" s="52"/>
      <c r="M10" s="52"/>
      <c r="N10" s="52"/>
      <c r="O10" s="52"/>
      <c r="P10" s="52"/>
    </row>
    <row r="11" spans="1:16" ht="15.6" x14ac:dyDescent="0.3">
      <c r="A11" s="53" t="s">
        <v>23</v>
      </c>
      <c r="B11" s="29" t="s">
        <v>21</v>
      </c>
      <c r="C11" s="53" t="s">
        <v>24</v>
      </c>
      <c r="D11" s="54">
        <v>7.5</v>
      </c>
      <c r="E11" s="54">
        <v>4</v>
      </c>
      <c r="F11" s="54" t="s">
        <v>127</v>
      </c>
      <c r="G11" s="55">
        <v>47.5</v>
      </c>
      <c r="H11" s="55">
        <v>65</v>
      </c>
      <c r="I11" s="52"/>
      <c r="J11" s="71" t="s">
        <v>131</v>
      </c>
      <c r="K11" s="72"/>
      <c r="L11" s="73"/>
      <c r="M11" s="52"/>
      <c r="N11" s="52"/>
      <c r="O11" s="52"/>
      <c r="P11" s="52"/>
    </row>
    <row r="12" spans="1:16" ht="15.6" x14ac:dyDescent="0.3">
      <c r="A12" s="53" t="s">
        <v>25</v>
      </c>
      <c r="B12" s="29" t="s">
        <v>21</v>
      </c>
      <c r="C12" s="53" t="s">
        <v>14</v>
      </c>
      <c r="D12" s="54">
        <v>8</v>
      </c>
      <c r="E12" s="54">
        <v>1</v>
      </c>
      <c r="F12" s="54" t="s">
        <v>127</v>
      </c>
      <c r="G12" s="55">
        <v>47.5</v>
      </c>
      <c r="H12" s="55">
        <v>65</v>
      </c>
      <c r="I12" s="52"/>
      <c r="J12" s="34" t="s">
        <v>3</v>
      </c>
      <c r="K12" s="30" t="s">
        <v>4</v>
      </c>
      <c r="L12" s="30" t="s">
        <v>132</v>
      </c>
      <c r="M12" s="52"/>
      <c r="N12" s="52"/>
      <c r="O12" s="52"/>
      <c r="P12" s="52"/>
    </row>
    <row r="13" spans="1:16" ht="15.6" x14ac:dyDescent="0.3">
      <c r="A13" s="53" t="s">
        <v>26</v>
      </c>
      <c r="B13" s="29" t="s">
        <v>21</v>
      </c>
      <c r="C13" s="53" t="s">
        <v>27</v>
      </c>
      <c r="D13" s="54">
        <v>7.5</v>
      </c>
      <c r="E13" s="54">
        <v>2</v>
      </c>
      <c r="F13" s="54" t="s">
        <v>127</v>
      </c>
      <c r="G13" s="55">
        <v>47.5</v>
      </c>
      <c r="H13" s="55">
        <v>65</v>
      </c>
      <c r="I13" s="52"/>
      <c r="J13" s="42" t="s">
        <v>10</v>
      </c>
      <c r="K13" s="31" t="s">
        <v>14</v>
      </c>
      <c r="L13" s="42">
        <f>SUMIFS($E$4:$E$50,$C$4:$C$50,K13,$B$4:$B$50,J13)</f>
        <v>16</v>
      </c>
      <c r="M13" s="1"/>
      <c r="N13" s="52"/>
      <c r="O13" s="52"/>
      <c r="P13" s="52"/>
    </row>
    <row r="14" spans="1:16" ht="15.6" x14ac:dyDescent="0.3">
      <c r="A14" s="53" t="s">
        <v>28</v>
      </c>
      <c r="B14" s="29" t="s">
        <v>21</v>
      </c>
      <c r="C14" s="53" t="s">
        <v>11</v>
      </c>
      <c r="D14" s="54">
        <v>8</v>
      </c>
      <c r="E14" s="54">
        <v>3</v>
      </c>
      <c r="F14" s="54" t="s">
        <v>127</v>
      </c>
      <c r="G14" s="55">
        <v>47.5</v>
      </c>
      <c r="H14" s="55">
        <v>65</v>
      </c>
      <c r="I14" s="52"/>
      <c r="J14" s="42" t="s">
        <v>50</v>
      </c>
      <c r="K14" s="32" t="s">
        <v>35</v>
      </c>
      <c r="L14" s="42">
        <f>SUMIFS($E$4:$E$50,$C$4:$C$50,K14,$B$4:$B$50,J14)</f>
        <v>18</v>
      </c>
      <c r="M14" s="1"/>
      <c r="N14" s="52"/>
      <c r="O14" s="52"/>
      <c r="P14" s="52"/>
    </row>
    <row r="15" spans="1:16" x14ac:dyDescent="0.3">
      <c r="A15" s="53" t="s">
        <v>133</v>
      </c>
      <c r="B15" s="53" t="s">
        <v>134</v>
      </c>
      <c r="C15" s="53" t="s">
        <v>135</v>
      </c>
      <c r="D15" s="53"/>
      <c r="E15" s="54">
        <v>3</v>
      </c>
      <c r="F15" s="53"/>
      <c r="G15" s="55">
        <v>50</v>
      </c>
      <c r="H15" s="55">
        <v>60</v>
      </c>
      <c r="I15" s="52"/>
      <c r="J15" s="42"/>
      <c r="K15" s="32"/>
      <c r="L15" s="42"/>
      <c r="M15" s="1"/>
      <c r="N15" s="52"/>
      <c r="O15" s="52"/>
      <c r="P15" s="52"/>
    </row>
    <row r="16" spans="1:16" ht="15.6" x14ac:dyDescent="0.3">
      <c r="A16" s="53" t="s">
        <v>49</v>
      </c>
      <c r="B16" s="29" t="s">
        <v>50</v>
      </c>
      <c r="C16" s="53" t="s">
        <v>35</v>
      </c>
      <c r="D16" s="54">
        <v>8</v>
      </c>
      <c r="E16" s="54">
        <v>6</v>
      </c>
      <c r="F16" s="54" t="s">
        <v>130</v>
      </c>
      <c r="G16" s="55">
        <v>48</v>
      </c>
      <c r="H16" s="55">
        <v>75</v>
      </c>
      <c r="I16" s="52"/>
      <c r="J16" s="42" t="s">
        <v>136</v>
      </c>
      <c r="K16" s="32"/>
      <c r="L16" s="42">
        <f>SUMIFS(E4:E50,D4:D50,"=",F4:F50,"=")</f>
        <v>26</v>
      </c>
      <c r="M16" s="1"/>
      <c r="N16" s="52"/>
      <c r="O16" s="52"/>
      <c r="P16" s="52"/>
    </row>
    <row r="17" spans="1:13" ht="15.6" x14ac:dyDescent="0.3">
      <c r="A17" s="53" t="s">
        <v>51</v>
      </c>
      <c r="B17" s="29" t="s">
        <v>50</v>
      </c>
      <c r="C17" s="53" t="s">
        <v>35</v>
      </c>
      <c r="D17" s="54">
        <v>9</v>
      </c>
      <c r="E17" s="54">
        <v>6</v>
      </c>
      <c r="F17" s="54" t="s">
        <v>130</v>
      </c>
      <c r="G17" s="55">
        <v>48</v>
      </c>
      <c r="H17" s="55">
        <v>75</v>
      </c>
      <c r="I17" s="52"/>
      <c r="J17" s="1"/>
      <c r="K17" s="1"/>
      <c r="L17" s="1"/>
      <c r="M17" s="1"/>
    </row>
    <row r="18" spans="1:13" ht="15.6" x14ac:dyDescent="0.3">
      <c r="A18" s="53" t="s">
        <v>52</v>
      </c>
      <c r="B18" s="29" t="s">
        <v>50</v>
      </c>
      <c r="C18" s="53" t="s">
        <v>35</v>
      </c>
      <c r="D18" s="54">
        <v>10</v>
      </c>
      <c r="E18" s="54">
        <v>6</v>
      </c>
      <c r="F18" s="54" t="s">
        <v>130</v>
      </c>
      <c r="G18" s="55">
        <v>48</v>
      </c>
      <c r="H18" s="55">
        <v>75</v>
      </c>
      <c r="I18" s="52"/>
      <c r="J18" s="1"/>
      <c r="K18" s="1"/>
      <c r="L18" s="1"/>
      <c r="M18" s="1"/>
    </row>
    <row r="19" spans="1:13" ht="15.6" x14ac:dyDescent="0.3">
      <c r="A19" s="53" t="s">
        <v>53</v>
      </c>
      <c r="B19" s="29" t="s">
        <v>50</v>
      </c>
      <c r="C19" s="53" t="s">
        <v>14</v>
      </c>
      <c r="D19" s="54">
        <v>8</v>
      </c>
      <c r="E19" s="54">
        <v>2</v>
      </c>
      <c r="F19" s="54" t="s">
        <v>130</v>
      </c>
      <c r="G19" s="55">
        <v>48</v>
      </c>
      <c r="H19" s="55">
        <v>75</v>
      </c>
      <c r="I19" s="52"/>
      <c r="J19" s="1"/>
      <c r="K19" s="1"/>
      <c r="L19" s="1"/>
      <c r="M19" s="1"/>
    </row>
    <row r="20" spans="1:13" ht="15.6" x14ac:dyDescent="0.3">
      <c r="A20" s="53" t="s">
        <v>54</v>
      </c>
      <c r="B20" s="29" t="s">
        <v>50</v>
      </c>
      <c r="C20" s="53" t="s">
        <v>14</v>
      </c>
      <c r="D20" s="54">
        <v>9</v>
      </c>
      <c r="E20" s="54">
        <v>3</v>
      </c>
      <c r="F20" s="54" t="s">
        <v>130</v>
      </c>
      <c r="G20" s="55">
        <v>48</v>
      </c>
      <c r="H20" s="55">
        <v>75</v>
      </c>
      <c r="I20" s="52"/>
      <c r="J20" s="1"/>
      <c r="K20" s="1"/>
      <c r="L20" s="1"/>
      <c r="M20" s="1"/>
    </row>
    <row r="21" spans="1:13" ht="15.6" x14ac:dyDescent="0.3">
      <c r="A21" s="53" t="s">
        <v>55</v>
      </c>
      <c r="B21" s="29" t="s">
        <v>50</v>
      </c>
      <c r="C21" s="53" t="s">
        <v>14</v>
      </c>
      <c r="D21" s="54">
        <v>10</v>
      </c>
      <c r="E21" s="54">
        <v>1</v>
      </c>
      <c r="F21" s="54" t="s">
        <v>130</v>
      </c>
      <c r="G21" s="55">
        <v>48</v>
      </c>
      <c r="H21" s="55">
        <v>75</v>
      </c>
      <c r="I21" s="52"/>
      <c r="J21" s="1"/>
      <c r="K21" s="1"/>
      <c r="L21" s="1"/>
      <c r="M21" s="1"/>
    </row>
    <row r="22" spans="1:13" x14ac:dyDescent="0.3">
      <c r="A22" s="53" t="s">
        <v>137</v>
      </c>
      <c r="B22" s="53" t="s">
        <v>138</v>
      </c>
      <c r="C22" s="53" t="s">
        <v>135</v>
      </c>
      <c r="D22" s="53"/>
      <c r="E22" s="54">
        <v>5</v>
      </c>
      <c r="F22" s="53"/>
      <c r="G22" s="55">
        <v>70</v>
      </c>
      <c r="H22" s="55">
        <v>85</v>
      </c>
      <c r="I22" s="52"/>
      <c r="J22" s="52"/>
      <c r="K22" s="52"/>
      <c r="L22" s="52"/>
      <c r="M22" s="52"/>
    </row>
    <row r="23" spans="1:13" ht="15.6" x14ac:dyDescent="0.3">
      <c r="A23" s="53" t="s">
        <v>29</v>
      </c>
      <c r="B23" s="29" t="s">
        <v>30</v>
      </c>
      <c r="C23" s="53" t="s">
        <v>31</v>
      </c>
      <c r="D23" s="54">
        <v>6</v>
      </c>
      <c r="E23" s="54">
        <v>4</v>
      </c>
      <c r="F23" s="54" t="s">
        <v>127</v>
      </c>
      <c r="G23" s="55">
        <v>7.5</v>
      </c>
      <c r="H23" s="55">
        <v>14</v>
      </c>
      <c r="I23" s="52"/>
      <c r="J23" s="52"/>
      <c r="K23" s="52"/>
      <c r="L23" s="52"/>
      <c r="M23" s="52"/>
    </row>
    <row r="24" spans="1:13" ht="15.6" x14ac:dyDescent="0.3">
      <c r="A24" s="53" t="s">
        <v>32</v>
      </c>
      <c r="B24" s="29" t="s">
        <v>30</v>
      </c>
      <c r="C24" s="53" t="s">
        <v>31</v>
      </c>
      <c r="D24" s="54">
        <v>7</v>
      </c>
      <c r="E24" s="54">
        <v>0</v>
      </c>
      <c r="F24" s="54" t="s">
        <v>127</v>
      </c>
      <c r="G24" s="55">
        <v>7.5</v>
      </c>
      <c r="H24" s="55">
        <v>14</v>
      </c>
      <c r="I24" s="52"/>
      <c r="J24" s="52"/>
      <c r="K24" s="52"/>
      <c r="L24" s="52"/>
      <c r="M24" s="52"/>
    </row>
    <row r="25" spans="1:13" ht="15.6" x14ac:dyDescent="0.3">
      <c r="A25" s="53" t="s">
        <v>33</v>
      </c>
      <c r="B25" s="29" t="s">
        <v>30</v>
      </c>
      <c r="C25" s="53" t="s">
        <v>31</v>
      </c>
      <c r="D25" s="54">
        <v>8</v>
      </c>
      <c r="E25" s="54">
        <v>2</v>
      </c>
      <c r="F25" s="54" t="s">
        <v>127</v>
      </c>
      <c r="G25" s="55">
        <v>7.5</v>
      </c>
      <c r="H25" s="55">
        <v>14</v>
      </c>
      <c r="I25" s="52"/>
      <c r="J25" s="52"/>
      <c r="K25" s="52"/>
      <c r="L25" s="52"/>
      <c r="M25" s="52"/>
    </row>
    <row r="26" spans="1:13" ht="15.6" x14ac:dyDescent="0.3">
      <c r="A26" s="53" t="s">
        <v>34</v>
      </c>
      <c r="B26" s="29" t="s">
        <v>30</v>
      </c>
      <c r="C26" s="53" t="s">
        <v>35</v>
      </c>
      <c r="D26" s="54">
        <v>6</v>
      </c>
      <c r="E26" s="54">
        <v>3</v>
      </c>
      <c r="F26" s="54" t="s">
        <v>127</v>
      </c>
      <c r="G26" s="55">
        <v>7.5</v>
      </c>
      <c r="H26" s="55">
        <v>14</v>
      </c>
      <c r="I26" s="52"/>
      <c r="J26" s="52"/>
      <c r="K26" s="52"/>
      <c r="L26" s="52"/>
      <c r="M26" s="52"/>
    </row>
    <row r="27" spans="1:13" ht="15.6" x14ac:dyDescent="0.3">
      <c r="A27" s="53" t="s">
        <v>36</v>
      </c>
      <c r="B27" s="29" t="s">
        <v>30</v>
      </c>
      <c r="C27" s="53" t="s">
        <v>35</v>
      </c>
      <c r="D27" s="54">
        <v>7</v>
      </c>
      <c r="E27" s="54">
        <v>1</v>
      </c>
      <c r="F27" s="54" t="s">
        <v>127</v>
      </c>
      <c r="G27" s="55">
        <v>7.5</v>
      </c>
      <c r="H27" s="55">
        <v>14</v>
      </c>
      <c r="I27" s="52"/>
      <c r="J27" s="52"/>
      <c r="K27" s="52"/>
      <c r="L27" s="52"/>
      <c r="M27" s="52"/>
    </row>
    <row r="28" spans="1:13" ht="15.6" x14ac:dyDescent="0.3">
      <c r="A28" s="53" t="s">
        <v>37</v>
      </c>
      <c r="B28" s="29" t="s">
        <v>30</v>
      </c>
      <c r="C28" s="53" t="s">
        <v>35</v>
      </c>
      <c r="D28" s="54">
        <v>8</v>
      </c>
      <c r="E28" s="54">
        <v>2</v>
      </c>
      <c r="F28" s="54" t="s">
        <v>127</v>
      </c>
      <c r="G28" s="55">
        <v>7.5</v>
      </c>
      <c r="H28" s="55">
        <v>14</v>
      </c>
      <c r="I28" s="52"/>
      <c r="J28" s="52"/>
      <c r="K28" s="52"/>
      <c r="L28" s="52"/>
      <c r="M28" s="52"/>
    </row>
    <row r="29" spans="1:13" ht="15.6" x14ac:dyDescent="0.3">
      <c r="A29" s="53" t="s">
        <v>38</v>
      </c>
      <c r="B29" s="29" t="s">
        <v>30</v>
      </c>
      <c r="C29" s="53" t="s">
        <v>11</v>
      </c>
      <c r="D29" s="54">
        <v>8</v>
      </c>
      <c r="E29" s="54">
        <v>2</v>
      </c>
      <c r="F29" s="54" t="s">
        <v>130</v>
      </c>
      <c r="G29" s="55">
        <v>7.5</v>
      </c>
      <c r="H29" s="55">
        <v>14</v>
      </c>
      <c r="I29" s="52"/>
      <c r="J29" s="52"/>
      <c r="K29" s="52"/>
      <c r="L29" s="52"/>
      <c r="M29" s="52"/>
    </row>
    <row r="30" spans="1:13" ht="15.6" x14ac:dyDescent="0.3">
      <c r="A30" s="53" t="s">
        <v>39</v>
      </c>
      <c r="B30" s="29" t="s">
        <v>30</v>
      </c>
      <c r="C30" s="53" t="s">
        <v>11</v>
      </c>
      <c r="D30" s="54">
        <v>9</v>
      </c>
      <c r="E30" s="54">
        <v>4</v>
      </c>
      <c r="F30" s="54" t="s">
        <v>130</v>
      </c>
      <c r="G30" s="55">
        <v>7.5</v>
      </c>
      <c r="H30" s="55">
        <v>14</v>
      </c>
      <c r="I30" s="52"/>
      <c r="J30" s="52"/>
      <c r="K30" s="52"/>
      <c r="L30" s="52"/>
      <c r="M30" s="52"/>
    </row>
    <row r="31" spans="1:13" ht="15.6" x14ac:dyDescent="0.3">
      <c r="A31" s="53" t="s">
        <v>40</v>
      </c>
      <c r="B31" s="29" t="s">
        <v>30</v>
      </c>
      <c r="C31" s="53" t="s">
        <v>11</v>
      </c>
      <c r="D31" s="54">
        <v>10</v>
      </c>
      <c r="E31" s="54">
        <v>2</v>
      </c>
      <c r="F31" s="54" t="s">
        <v>130</v>
      </c>
      <c r="G31" s="55">
        <v>7.5</v>
      </c>
      <c r="H31" s="55">
        <v>14</v>
      </c>
      <c r="I31" s="52"/>
      <c r="J31" s="52"/>
      <c r="K31" s="52"/>
      <c r="L31" s="52"/>
      <c r="M31" s="52"/>
    </row>
    <row r="32" spans="1:13" ht="15.6" x14ac:dyDescent="0.3">
      <c r="A32" s="53" t="s">
        <v>41</v>
      </c>
      <c r="B32" s="29" t="s">
        <v>30</v>
      </c>
      <c r="C32" s="53" t="s">
        <v>11</v>
      </c>
      <c r="D32" s="54">
        <v>11</v>
      </c>
      <c r="E32" s="54">
        <v>2</v>
      </c>
      <c r="F32" s="54" t="s">
        <v>130</v>
      </c>
      <c r="G32" s="55">
        <v>7.5</v>
      </c>
      <c r="H32" s="55">
        <v>14</v>
      </c>
      <c r="I32" s="52"/>
      <c r="J32" s="52"/>
      <c r="K32" s="52"/>
      <c r="L32" s="52"/>
      <c r="M32" s="52"/>
    </row>
    <row r="33" spans="1:8" x14ac:dyDescent="0.3">
      <c r="A33" s="53" t="s">
        <v>139</v>
      </c>
      <c r="B33" s="53" t="s">
        <v>140</v>
      </c>
      <c r="C33" s="53" t="s">
        <v>141</v>
      </c>
      <c r="D33" s="53"/>
      <c r="E33" s="54">
        <v>2</v>
      </c>
      <c r="F33" s="53"/>
      <c r="G33" s="55">
        <v>65</v>
      </c>
      <c r="H33" s="55">
        <v>80</v>
      </c>
    </row>
    <row r="34" spans="1:8" x14ac:dyDescent="0.3">
      <c r="A34" s="53" t="s">
        <v>142</v>
      </c>
      <c r="B34" s="53" t="s">
        <v>140</v>
      </c>
      <c r="C34" s="53" t="s">
        <v>143</v>
      </c>
      <c r="D34" s="53"/>
      <c r="E34" s="54">
        <v>3</v>
      </c>
      <c r="F34" s="53"/>
      <c r="G34" s="55">
        <v>65</v>
      </c>
      <c r="H34" s="55">
        <v>80</v>
      </c>
    </row>
    <row r="35" spans="1:8" x14ac:dyDescent="0.3">
      <c r="A35" s="53" t="s">
        <v>144</v>
      </c>
      <c r="B35" s="53" t="s">
        <v>145</v>
      </c>
      <c r="C35" s="53" t="s">
        <v>11</v>
      </c>
      <c r="D35" s="53"/>
      <c r="E35" s="54">
        <v>2</v>
      </c>
      <c r="F35" s="53"/>
      <c r="G35" s="55">
        <v>45</v>
      </c>
      <c r="H35" s="55">
        <v>55</v>
      </c>
    </row>
    <row r="36" spans="1:8" x14ac:dyDescent="0.3">
      <c r="A36" s="53" t="s">
        <v>146</v>
      </c>
      <c r="B36" s="53" t="s">
        <v>145</v>
      </c>
      <c r="C36" s="53" t="s">
        <v>147</v>
      </c>
      <c r="D36" s="53"/>
      <c r="E36" s="54">
        <v>4</v>
      </c>
      <c r="F36" s="53"/>
      <c r="G36" s="55">
        <v>45</v>
      </c>
      <c r="H36" s="55">
        <v>55</v>
      </c>
    </row>
    <row r="37" spans="1:8" ht="15.6" x14ac:dyDescent="0.3">
      <c r="A37" s="53" t="s">
        <v>9</v>
      </c>
      <c r="B37" s="29" t="s">
        <v>10</v>
      </c>
      <c r="C37" s="53" t="s">
        <v>11</v>
      </c>
      <c r="D37" s="54">
        <v>8</v>
      </c>
      <c r="E37" s="54">
        <v>5</v>
      </c>
      <c r="F37" s="54" t="s">
        <v>130</v>
      </c>
      <c r="G37" s="55">
        <v>46.5</v>
      </c>
      <c r="H37" s="55">
        <v>90</v>
      </c>
    </row>
    <row r="38" spans="1:8" ht="15.6" x14ac:dyDescent="0.3">
      <c r="A38" s="53" t="s">
        <v>12</v>
      </c>
      <c r="B38" s="29" t="s">
        <v>10</v>
      </c>
      <c r="C38" s="53" t="s">
        <v>11</v>
      </c>
      <c r="D38" s="54">
        <v>10</v>
      </c>
      <c r="E38" s="54">
        <v>3</v>
      </c>
      <c r="F38" s="54" t="s">
        <v>130</v>
      </c>
      <c r="G38" s="55">
        <v>46.5</v>
      </c>
      <c r="H38" s="55">
        <v>90</v>
      </c>
    </row>
    <row r="39" spans="1:8" ht="15.6" x14ac:dyDescent="0.3">
      <c r="A39" s="53" t="s">
        <v>13</v>
      </c>
      <c r="B39" s="29" t="s">
        <v>10</v>
      </c>
      <c r="C39" s="53" t="s">
        <v>14</v>
      </c>
      <c r="D39" s="54">
        <v>9.5</v>
      </c>
      <c r="E39" s="54">
        <v>6</v>
      </c>
      <c r="F39" s="54" t="s">
        <v>130</v>
      </c>
      <c r="G39" s="55">
        <v>46.5</v>
      </c>
      <c r="H39" s="55">
        <v>90</v>
      </c>
    </row>
    <row r="40" spans="1:8" ht="15.6" x14ac:dyDescent="0.3">
      <c r="A40" s="56" t="s">
        <v>15</v>
      </c>
      <c r="B40" s="29" t="s">
        <v>10</v>
      </c>
      <c r="C40" s="53" t="s">
        <v>14</v>
      </c>
      <c r="D40" s="54">
        <v>10.5</v>
      </c>
      <c r="E40" s="54">
        <v>4</v>
      </c>
      <c r="F40" s="54" t="s">
        <v>130</v>
      </c>
      <c r="G40" s="55">
        <v>46.5</v>
      </c>
      <c r="H40" s="55">
        <v>90</v>
      </c>
    </row>
    <row r="41" spans="1:8" ht="15.6" x14ac:dyDescent="0.3">
      <c r="A41" s="53" t="s">
        <v>16</v>
      </c>
      <c r="B41" s="29" t="s">
        <v>10</v>
      </c>
      <c r="C41" s="53" t="s">
        <v>14</v>
      </c>
      <c r="D41" s="54">
        <v>7.5</v>
      </c>
      <c r="E41" s="54">
        <v>4</v>
      </c>
      <c r="F41" s="54" t="s">
        <v>127</v>
      </c>
      <c r="G41" s="55">
        <v>53.5</v>
      </c>
      <c r="H41" s="55">
        <v>98</v>
      </c>
    </row>
    <row r="42" spans="1:8" ht="15.6" x14ac:dyDescent="0.3">
      <c r="A42" s="56" t="s">
        <v>17</v>
      </c>
      <c r="B42" s="29" t="s">
        <v>10</v>
      </c>
      <c r="C42" s="53" t="s">
        <v>14</v>
      </c>
      <c r="D42" s="54">
        <v>8</v>
      </c>
      <c r="E42" s="54">
        <v>2</v>
      </c>
      <c r="F42" s="54" t="s">
        <v>127</v>
      </c>
      <c r="G42" s="55">
        <v>53.5</v>
      </c>
      <c r="H42" s="55">
        <v>98</v>
      </c>
    </row>
    <row r="43" spans="1:8" ht="15.6" x14ac:dyDescent="0.3">
      <c r="A43" s="53" t="s">
        <v>18</v>
      </c>
      <c r="B43" s="29" t="s">
        <v>10</v>
      </c>
      <c r="C43" s="53" t="s">
        <v>11</v>
      </c>
      <c r="D43" s="54">
        <v>9</v>
      </c>
      <c r="E43" s="54">
        <v>3</v>
      </c>
      <c r="F43" s="54" t="s">
        <v>127</v>
      </c>
      <c r="G43" s="55">
        <v>53.5</v>
      </c>
      <c r="H43" s="55">
        <v>98</v>
      </c>
    </row>
    <row r="44" spans="1:8" ht="15.6" x14ac:dyDescent="0.3">
      <c r="A44" s="56" t="s">
        <v>19</v>
      </c>
      <c r="B44" s="29" t="s">
        <v>10</v>
      </c>
      <c r="C44" s="53" t="s">
        <v>11</v>
      </c>
      <c r="D44" s="54">
        <v>8.5</v>
      </c>
      <c r="E44" s="54">
        <v>2</v>
      </c>
      <c r="F44" s="54" t="s">
        <v>127</v>
      </c>
      <c r="G44" s="55">
        <v>53.5</v>
      </c>
      <c r="H44" s="55">
        <v>98</v>
      </c>
    </row>
    <row r="45" spans="1:8" ht="15.6" x14ac:dyDescent="0.3">
      <c r="A45" s="53" t="s">
        <v>42</v>
      </c>
      <c r="B45" s="29" t="s">
        <v>43</v>
      </c>
      <c r="C45" s="53" t="s">
        <v>14</v>
      </c>
      <c r="D45" s="54">
        <v>6</v>
      </c>
      <c r="E45" s="54">
        <v>0</v>
      </c>
      <c r="F45" s="54" t="s">
        <v>127</v>
      </c>
      <c r="G45" s="55">
        <v>42.5</v>
      </c>
      <c r="H45" s="55">
        <v>80</v>
      </c>
    </row>
    <row r="46" spans="1:8" ht="15.6" x14ac:dyDescent="0.3">
      <c r="A46" s="56" t="s">
        <v>44</v>
      </c>
      <c r="B46" s="29" t="s">
        <v>43</v>
      </c>
      <c r="C46" s="53" t="s">
        <v>14</v>
      </c>
      <c r="D46" s="54">
        <v>6.5</v>
      </c>
      <c r="E46" s="54">
        <v>0</v>
      </c>
      <c r="F46" s="54" t="s">
        <v>127</v>
      </c>
      <c r="G46" s="55">
        <v>42.5</v>
      </c>
      <c r="H46" s="55">
        <v>80</v>
      </c>
    </row>
    <row r="47" spans="1:8" ht="15.6" x14ac:dyDescent="0.3">
      <c r="A47" s="53" t="s">
        <v>45</v>
      </c>
      <c r="B47" s="29" t="s">
        <v>43</v>
      </c>
      <c r="C47" s="53" t="s">
        <v>14</v>
      </c>
      <c r="D47" s="54">
        <v>7</v>
      </c>
      <c r="E47" s="54">
        <v>1</v>
      </c>
      <c r="F47" s="54" t="s">
        <v>127</v>
      </c>
      <c r="G47" s="55">
        <v>42.5</v>
      </c>
      <c r="H47" s="55">
        <v>80</v>
      </c>
    </row>
    <row r="48" spans="1:8" ht="15.6" x14ac:dyDescent="0.3">
      <c r="A48" s="53" t="s">
        <v>46</v>
      </c>
      <c r="B48" s="29" t="s">
        <v>43</v>
      </c>
      <c r="C48" s="53" t="s">
        <v>14</v>
      </c>
      <c r="D48" s="54">
        <v>7.5</v>
      </c>
      <c r="E48" s="54">
        <v>0</v>
      </c>
      <c r="F48" s="54" t="s">
        <v>127</v>
      </c>
      <c r="G48" s="55">
        <v>42.5</v>
      </c>
      <c r="H48" s="55">
        <v>80</v>
      </c>
    </row>
    <row r="49" spans="1:8" ht="15.6" x14ac:dyDescent="0.3">
      <c r="A49" s="56" t="s">
        <v>47</v>
      </c>
      <c r="B49" s="29" t="s">
        <v>43</v>
      </c>
      <c r="C49" s="53" t="s">
        <v>14</v>
      </c>
      <c r="D49" s="54">
        <v>8</v>
      </c>
      <c r="E49" s="54">
        <v>2</v>
      </c>
      <c r="F49" s="54" t="s">
        <v>127</v>
      </c>
      <c r="G49" s="55">
        <v>42.5</v>
      </c>
      <c r="H49" s="55">
        <v>80</v>
      </c>
    </row>
    <row r="50" spans="1:8" ht="15.6" x14ac:dyDescent="0.3">
      <c r="A50" s="57" t="s">
        <v>48</v>
      </c>
      <c r="B50" s="43" t="s">
        <v>43</v>
      </c>
      <c r="C50" s="57" t="s">
        <v>14</v>
      </c>
      <c r="D50" s="58">
        <v>8.5</v>
      </c>
      <c r="E50" s="58">
        <v>1</v>
      </c>
      <c r="F50" s="58" t="s">
        <v>127</v>
      </c>
      <c r="G50" s="59">
        <v>42.5</v>
      </c>
      <c r="H50" s="59">
        <v>80</v>
      </c>
    </row>
  </sheetData>
  <sortState xmlns:xlrd2="http://schemas.microsoft.com/office/spreadsheetml/2017/richdata2" ref="A4:H50">
    <sortCondition ref="B4:B50"/>
  </sortState>
  <mergeCells count="1">
    <mergeCell ref="J11:L11"/>
  </mergeCells>
  <phoneticPr fontId="19" type="noConversion"/>
  <printOptions horizontalCentered="1"/>
  <pageMargins left="0.4" right="0.5" top="0.75" bottom="0.75" header="0.3" footer="0.3"/>
  <pageSetup orientation="landscape" horizontalDpi="200" verticalDpi="200" r:id="rId1"/>
  <colBreaks count="1" manualBreakCount="1">
    <brk id="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E8"/>
  <sheetViews>
    <sheetView workbookViewId="0"/>
  </sheetViews>
  <sheetFormatPr defaultRowHeight="14.4" x14ac:dyDescent="0.3"/>
  <cols>
    <col min="1" max="1" width="11.44140625" style="1" customWidth="1"/>
    <col min="2" max="2" width="11.88671875" style="1" customWidth="1"/>
    <col min="3" max="3" width="40.109375" style="1" customWidth="1"/>
  </cols>
  <sheetData>
    <row r="1" spans="1:5" ht="18" x14ac:dyDescent="0.35">
      <c r="A1" s="10" t="s">
        <v>148</v>
      </c>
    </row>
    <row r="2" spans="1:5" ht="18" x14ac:dyDescent="0.35">
      <c r="A2" s="10" t="s">
        <v>149</v>
      </c>
    </row>
    <row r="4" spans="1:5" ht="30" customHeight="1" x14ac:dyDescent="0.3">
      <c r="A4" s="11" t="s">
        <v>150</v>
      </c>
      <c r="B4" s="12" t="s">
        <v>151</v>
      </c>
      <c r="C4" s="13" t="s">
        <v>152</v>
      </c>
      <c r="D4" s="14"/>
      <c r="E4" s="14"/>
    </row>
    <row r="5" spans="1:5" ht="30" customHeight="1" x14ac:dyDescent="0.3">
      <c r="A5" s="15" t="s">
        <v>153</v>
      </c>
      <c r="B5" s="16" t="s">
        <v>154</v>
      </c>
      <c r="C5" s="17"/>
      <c r="D5" s="18"/>
      <c r="E5" s="18"/>
    </row>
    <row r="6" spans="1:5" ht="30" customHeight="1" x14ac:dyDescent="0.3">
      <c r="A6" s="15" t="s">
        <v>155</v>
      </c>
      <c r="B6" s="16" t="s">
        <v>35</v>
      </c>
      <c r="C6" s="17"/>
      <c r="D6" s="18"/>
      <c r="E6" s="18"/>
    </row>
    <row r="7" spans="1:5" ht="30" customHeight="1" x14ac:dyDescent="0.3">
      <c r="A7" s="15" t="s">
        <v>156</v>
      </c>
      <c r="B7" s="16" t="s">
        <v>157</v>
      </c>
      <c r="C7" s="17"/>
      <c r="D7" s="18"/>
      <c r="E7" s="18"/>
    </row>
    <row r="8" spans="1:5" ht="30" customHeight="1" x14ac:dyDescent="0.3">
      <c r="A8" s="15" t="s">
        <v>158</v>
      </c>
      <c r="B8" s="16" t="s">
        <v>159</v>
      </c>
      <c r="C8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38521C337E304C98B20FCF07C6BA7D" ma:contentTypeVersion="4" ma:contentTypeDescription="Create a new document." ma:contentTypeScope="" ma:versionID="e54a8dbaa1f5690497a1af6baa00e574">
  <xsd:schema xmlns:xsd="http://www.w3.org/2001/XMLSchema" xmlns:xs="http://www.w3.org/2001/XMLSchema" xmlns:p="http://schemas.microsoft.com/office/2006/metadata/properties" xmlns:ns3="52073ef3-e963-427c-a197-43a7f86e45d1" targetNamespace="http://schemas.microsoft.com/office/2006/metadata/properties" ma:root="true" ma:fieldsID="0091d58883f0767deec8e05896652ab7" ns3:_="">
    <xsd:import namespace="52073ef3-e963-427c-a197-43a7f86e45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73ef3-e963-427c-a197-43a7f86e45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senna xmlns="http://customxml.org">
  <kers>zvn1CaKzz9fsHVe+ZQNGaiuWqbA64IlguXZP35ICnaI=</kers>
  <massa>2/21/2024 8:49:39 PM</massa>
  <hamilton>true</hamilton>
</senn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DD8104-0DBE-4697-86BA-99785A1134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73ef3-e963-427c-a197-43a7f86e45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D8FB3E-B1C4-48C5-84CC-1D079CAC134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C5DD001-0198-41FF-908D-4D1027084779}">
  <ds:schemaRefs>
    <ds:schemaRef ds:uri="http://customxml.org"/>
  </ds:schemaRefs>
</ds:datastoreItem>
</file>

<file path=customXml/itemProps4.xml><?xml version="1.0" encoding="utf-8"?>
<ds:datastoreItem xmlns:ds="http://schemas.openxmlformats.org/officeDocument/2006/customXml" ds:itemID="{21F94968-2BCF-45D3-9DF2-A1D8F9D614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Satisfaction Survey</vt:lpstr>
      <vt:lpstr>Average Ratings</vt:lpstr>
      <vt:lpstr>Criteria</vt:lpstr>
      <vt:lpstr>Shipment Times</vt:lpstr>
      <vt:lpstr>Inventory</vt:lpstr>
      <vt:lpstr>E-Mail</vt:lpstr>
      <vt:lpstr>Inventory</vt:lpstr>
      <vt:lpstr>Survey</vt:lpstr>
    </vt:vector>
  </TitlesOfParts>
  <Manager/>
  <Company>McGraw-Hill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Caliana Sunez</cp:lastModifiedBy>
  <cp:revision/>
  <dcterms:created xsi:type="dcterms:W3CDTF">2011-11-15T02:27:20Z</dcterms:created>
  <dcterms:modified xsi:type="dcterms:W3CDTF">2024-04-18T09:22:29Z</dcterms:modified>
  <cp:category/>
  <cp:contentStatus>Draft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0x0101004E38521C337E304C98B20FCF07C6BA7D</vt:lpwstr>
  </property>
</Properties>
</file>