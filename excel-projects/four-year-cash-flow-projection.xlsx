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lia\Downloads\Spreadsheets for Business- Spring 2024\Caliana Sunes Excel Projects\"/>
    </mc:Choice>
  </mc:AlternateContent>
  <xr:revisionPtr revIDLastSave="0" documentId="13_ncr:1_{6A943B5F-E48B-4118-8589-D89D0CEDC5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shFlow" sheetId="1" r:id="rId1"/>
    <sheet name="Depreciation" sheetId="2" r:id="rId2"/>
    <sheet name="Amortization" sheetId="3" r:id="rId3"/>
  </sheets>
  <definedNames>
    <definedName name="Capital">Depreciation!$B$3</definedName>
    <definedName name="Inflation">1.044</definedName>
    <definedName name="Life">Depreciation!$B$5</definedName>
    <definedName name="ProjectedGrowth">1.45</definedName>
    <definedName name="Salvage">Depreciation!$B$4</definedName>
    <definedName name="Semester">"2024 Spring"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2" i="3" l="1"/>
  <c r="D371" i="3"/>
  <c r="C371" i="3"/>
  <c r="D370" i="3"/>
  <c r="C370" i="3"/>
  <c r="D369" i="3"/>
  <c r="C369" i="3"/>
  <c r="D368" i="3"/>
  <c r="C368" i="3"/>
  <c r="D367" i="3"/>
  <c r="C367" i="3"/>
  <c r="D366" i="3"/>
  <c r="C366" i="3"/>
  <c r="D365" i="3"/>
  <c r="C365" i="3"/>
  <c r="D364" i="3"/>
  <c r="C364" i="3"/>
  <c r="D363" i="3"/>
  <c r="C363" i="3"/>
  <c r="D362" i="3"/>
  <c r="C362" i="3"/>
  <c r="D361" i="3"/>
  <c r="C361" i="3"/>
  <c r="D360" i="3"/>
  <c r="C360" i="3"/>
  <c r="D359" i="3"/>
  <c r="C359" i="3"/>
  <c r="D358" i="3"/>
  <c r="C358" i="3"/>
  <c r="D357" i="3"/>
  <c r="C357" i="3"/>
  <c r="D356" i="3"/>
  <c r="C356" i="3"/>
  <c r="D355" i="3"/>
  <c r="C355" i="3"/>
  <c r="D354" i="3"/>
  <c r="C354" i="3"/>
  <c r="D353" i="3"/>
  <c r="C353" i="3"/>
  <c r="D352" i="3"/>
  <c r="C352" i="3"/>
  <c r="D351" i="3"/>
  <c r="C351" i="3"/>
  <c r="D350" i="3"/>
  <c r="C350" i="3"/>
  <c r="D349" i="3"/>
  <c r="C349" i="3"/>
  <c r="D348" i="3"/>
  <c r="C348" i="3"/>
  <c r="D347" i="3"/>
  <c r="C347" i="3"/>
  <c r="D346" i="3"/>
  <c r="C346" i="3"/>
  <c r="D345" i="3"/>
  <c r="C345" i="3"/>
  <c r="D344" i="3"/>
  <c r="C344" i="3"/>
  <c r="D343" i="3"/>
  <c r="C343" i="3"/>
  <c r="D342" i="3"/>
  <c r="C342" i="3"/>
  <c r="D341" i="3"/>
  <c r="C341" i="3"/>
  <c r="D340" i="3"/>
  <c r="C340" i="3"/>
  <c r="D339" i="3"/>
  <c r="C339" i="3"/>
  <c r="D338" i="3"/>
  <c r="C338" i="3"/>
  <c r="D337" i="3"/>
  <c r="C337" i="3"/>
  <c r="D336" i="3"/>
  <c r="C336" i="3"/>
  <c r="D335" i="3"/>
  <c r="C335" i="3"/>
  <c r="D334" i="3"/>
  <c r="C334" i="3"/>
  <c r="D333" i="3"/>
  <c r="C333" i="3"/>
  <c r="D332" i="3"/>
  <c r="C332" i="3"/>
  <c r="D331" i="3"/>
  <c r="C331" i="3"/>
  <c r="D330" i="3"/>
  <c r="C330" i="3"/>
  <c r="D329" i="3"/>
  <c r="C329" i="3"/>
  <c r="D328" i="3"/>
  <c r="C328" i="3"/>
  <c r="D327" i="3"/>
  <c r="C327" i="3"/>
  <c r="D326" i="3"/>
  <c r="C326" i="3"/>
  <c r="D325" i="3"/>
  <c r="C325" i="3"/>
  <c r="D324" i="3"/>
  <c r="C324" i="3"/>
  <c r="D323" i="3"/>
  <c r="C323" i="3"/>
  <c r="D322" i="3"/>
  <c r="C322" i="3"/>
  <c r="D321" i="3"/>
  <c r="C321" i="3"/>
  <c r="D320" i="3"/>
  <c r="C320" i="3"/>
  <c r="D319" i="3"/>
  <c r="C319" i="3"/>
  <c r="D318" i="3"/>
  <c r="C318" i="3"/>
  <c r="D317" i="3"/>
  <c r="C317" i="3"/>
  <c r="D316" i="3"/>
  <c r="C316" i="3"/>
  <c r="D315" i="3"/>
  <c r="C315" i="3"/>
  <c r="D314" i="3"/>
  <c r="C314" i="3"/>
  <c r="D313" i="3"/>
  <c r="C313" i="3"/>
  <c r="D312" i="3"/>
  <c r="C312" i="3"/>
  <c r="D311" i="3"/>
  <c r="C311" i="3"/>
  <c r="D310" i="3"/>
  <c r="C310" i="3"/>
  <c r="D309" i="3"/>
  <c r="C309" i="3"/>
  <c r="D308" i="3"/>
  <c r="C308" i="3"/>
  <c r="D307" i="3"/>
  <c r="C307" i="3"/>
  <c r="D306" i="3"/>
  <c r="C306" i="3"/>
  <c r="D305" i="3"/>
  <c r="C305" i="3"/>
  <c r="D304" i="3"/>
  <c r="C304" i="3"/>
  <c r="D303" i="3"/>
  <c r="C303" i="3"/>
  <c r="D302" i="3"/>
  <c r="C302" i="3"/>
  <c r="D301" i="3"/>
  <c r="C301" i="3"/>
  <c r="D300" i="3"/>
  <c r="C300" i="3"/>
  <c r="D299" i="3"/>
  <c r="C299" i="3"/>
  <c r="D298" i="3"/>
  <c r="C298" i="3"/>
  <c r="D297" i="3"/>
  <c r="C297" i="3"/>
  <c r="D296" i="3"/>
  <c r="C296" i="3"/>
  <c r="D295" i="3"/>
  <c r="C295" i="3"/>
  <c r="D294" i="3"/>
  <c r="C294" i="3"/>
  <c r="D293" i="3"/>
  <c r="C293" i="3"/>
  <c r="D292" i="3"/>
  <c r="C292" i="3"/>
  <c r="D291" i="3"/>
  <c r="C291" i="3"/>
  <c r="D290" i="3"/>
  <c r="C290" i="3"/>
  <c r="D289" i="3"/>
  <c r="C289" i="3"/>
  <c r="D288" i="3"/>
  <c r="C288" i="3"/>
  <c r="D287" i="3"/>
  <c r="C287" i="3"/>
  <c r="D286" i="3"/>
  <c r="C286" i="3"/>
  <c r="D285" i="3"/>
  <c r="C285" i="3"/>
  <c r="D284" i="3"/>
  <c r="C284" i="3"/>
  <c r="D283" i="3"/>
  <c r="C283" i="3"/>
  <c r="D282" i="3"/>
  <c r="C282" i="3"/>
  <c r="D281" i="3"/>
  <c r="C281" i="3"/>
  <c r="D280" i="3"/>
  <c r="C280" i="3"/>
  <c r="D279" i="3"/>
  <c r="C279" i="3"/>
  <c r="D278" i="3"/>
  <c r="C278" i="3"/>
  <c r="D277" i="3"/>
  <c r="C277" i="3"/>
  <c r="D276" i="3"/>
  <c r="C276" i="3"/>
  <c r="D275" i="3"/>
  <c r="C275" i="3"/>
  <c r="D274" i="3"/>
  <c r="C274" i="3"/>
  <c r="D273" i="3"/>
  <c r="C273" i="3"/>
  <c r="D272" i="3"/>
  <c r="C272" i="3"/>
  <c r="D271" i="3"/>
  <c r="C271" i="3"/>
  <c r="D270" i="3"/>
  <c r="C270" i="3"/>
  <c r="D269" i="3"/>
  <c r="C269" i="3"/>
  <c r="D268" i="3"/>
  <c r="C268" i="3"/>
  <c r="D267" i="3"/>
  <c r="C267" i="3"/>
  <c r="D266" i="3"/>
  <c r="C266" i="3"/>
  <c r="D265" i="3"/>
  <c r="C265" i="3"/>
  <c r="D264" i="3"/>
  <c r="C264" i="3"/>
  <c r="D263" i="3"/>
  <c r="C263" i="3"/>
  <c r="D262" i="3"/>
  <c r="C262" i="3"/>
  <c r="D261" i="3"/>
  <c r="C261" i="3"/>
  <c r="D260" i="3"/>
  <c r="C260" i="3"/>
  <c r="D259" i="3"/>
  <c r="C259" i="3"/>
  <c r="D258" i="3"/>
  <c r="C258" i="3"/>
  <c r="D257" i="3"/>
  <c r="C257" i="3"/>
  <c r="D256" i="3"/>
  <c r="C256" i="3"/>
  <c r="D255" i="3"/>
  <c r="C255" i="3"/>
  <c r="D254" i="3"/>
  <c r="C254" i="3"/>
  <c r="D253" i="3"/>
  <c r="C253" i="3"/>
  <c r="D252" i="3"/>
  <c r="C252" i="3"/>
  <c r="D251" i="3"/>
  <c r="C251" i="3"/>
  <c r="D250" i="3"/>
  <c r="C250" i="3"/>
  <c r="D249" i="3"/>
  <c r="C249" i="3"/>
  <c r="D248" i="3"/>
  <c r="C248" i="3"/>
  <c r="D247" i="3"/>
  <c r="C247" i="3"/>
  <c r="D246" i="3"/>
  <c r="C246" i="3"/>
  <c r="D245" i="3"/>
  <c r="C245" i="3"/>
  <c r="D244" i="3"/>
  <c r="C244" i="3"/>
  <c r="D243" i="3"/>
  <c r="C243" i="3"/>
  <c r="D242" i="3"/>
  <c r="C242" i="3"/>
  <c r="D241" i="3"/>
  <c r="C241" i="3"/>
  <c r="D240" i="3"/>
  <c r="C240" i="3"/>
  <c r="D239" i="3"/>
  <c r="C239" i="3"/>
  <c r="D238" i="3"/>
  <c r="C238" i="3"/>
  <c r="D237" i="3"/>
  <c r="C237" i="3"/>
  <c r="D236" i="3"/>
  <c r="C236" i="3"/>
  <c r="D235" i="3"/>
  <c r="C235" i="3"/>
  <c r="D234" i="3"/>
  <c r="C234" i="3"/>
  <c r="D233" i="3"/>
  <c r="C233" i="3"/>
  <c r="D232" i="3"/>
  <c r="C232" i="3"/>
  <c r="D231" i="3"/>
  <c r="C231" i="3"/>
  <c r="D230" i="3"/>
  <c r="C230" i="3"/>
  <c r="D229" i="3"/>
  <c r="C229" i="3"/>
  <c r="D228" i="3"/>
  <c r="C228" i="3"/>
  <c r="D227" i="3"/>
  <c r="C227" i="3"/>
  <c r="D226" i="3"/>
  <c r="C226" i="3"/>
  <c r="D225" i="3"/>
  <c r="C225" i="3"/>
  <c r="D224" i="3"/>
  <c r="C224" i="3"/>
  <c r="D223" i="3"/>
  <c r="C223" i="3"/>
  <c r="D222" i="3"/>
  <c r="C222" i="3"/>
  <c r="D221" i="3"/>
  <c r="C221" i="3"/>
  <c r="D220" i="3"/>
  <c r="C220" i="3"/>
  <c r="D219" i="3"/>
  <c r="C219" i="3"/>
  <c r="D218" i="3"/>
  <c r="C218" i="3"/>
  <c r="D217" i="3"/>
  <c r="C217" i="3"/>
  <c r="D216" i="3"/>
  <c r="C216" i="3"/>
  <c r="D215" i="3"/>
  <c r="C215" i="3"/>
  <c r="D214" i="3"/>
  <c r="C214" i="3"/>
  <c r="D213" i="3"/>
  <c r="C213" i="3"/>
  <c r="D212" i="3"/>
  <c r="C212" i="3"/>
  <c r="D211" i="3"/>
  <c r="C211" i="3"/>
  <c r="D210" i="3"/>
  <c r="C210" i="3"/>
  <c r="D209" i="3"/>
  <c r="C209" i="3"/>
  <c r="D208" i="3"/>
  <c r="C208" i="3"/>
  <c r="D207" i="3"/>
  <c r="C207" i="3"/>
  <c r="D206" i="3"/>
  <c r="C206" i="3"/>
  <c r="D205" i="3"/>
  <c r="C205" i="3"/>
  <c r="D204" i="3"/>
  <c r="C204" i="3"/>
  <c r="D203" i="3"/>
  <c r="C203" i="3"/>
  <c r="D202" i="3"/>
  <c r="C202" i="3"/>
  <c r="D201" i="3"/>
  <c r="C201" i="3"/>
  <c r="D200" i="3"/>
  <c r="C200" i="3"/>
  <c r="D199" i="3"/>
  <c r="C199" i="3"/>
  <c r="D198" i="3"/>
  <c r="C198" i="3"/>
  <c r="D197" i="3"/>
  <c r="C197" i="3"/>
  <c r="D196" i="3"/>
  <c r="C196" i="3"/>
  <c r="D195" i="3"/>
  <c r="C195" i="3"/>
  <c r="D194" i="3"/>
  <c r="C194" i="3"/>
  <c r="D193" i="3"/>
  <c r="C193" i="3"/>
  <c r="D192" i="3"/>
  <c r="C192" i="3"/>
  <c r="D191" i="3"/>
  <c r="C191" i="3"/>
  <c r="D190" i="3"/>
  <c r="C190" i="3"/>
  <c r="D189" i="3"/>
  <c r="C189" i="3"/>
  <c r="D188" i="3"/>
  <c r="C188" i="3"/>
  <c r="D187" i="3"/>
  <c r="C187" i="3"/>
  <c r="D186" i="3"/>
  <c r="C186" i="3"/>
  <c r="D185" i="3"/>
  <c r="C185" i="3"/>
  <c r="D184" i="3"/>
  <c r="C184" i="3"/>
  <c r="D183" i="3"/>
  <c r="C183" i="3"/>
  <c r="D182" i="3"/>
  <c r="C182" i="3"/>
  <c r="D181" i="3"/>
  <c r="C181" i="3"/>
  <c r="D180" i="3"/>
  <c r="C180" i="3"/>
  <c r="D179" i="3"/>
  <c r="C179" i="3"/>
  <c r="D178" i="3"/>
  <c r="C178" i="3"/>
  <c r="D177" i="3"/>
  <c r="C177" i="3"/>
  <c r="D176" i="3"/>
  <c r="C176" i="3"/>
  <c r="D175" i="3"/>
  <c r="C175" i="3"/>
  <c r="D174" i="3"/>
  <c r="C174" i="3"/>
  <c r="D173" i="3"/>
  <c r="C173" i="3"/>
  <c r="D172" i="3"/>
  <c r="C172" i="3"/>
  <c r="D171" i="3"/>
  <c r="C171" i="3"/>
  <c r="D170" i="3"/>
  <c r="C170" i="3"/>
  <c r="D169" i="3"/>
  <c r="C169" i="3"/>
  <c r="D168" i="3"/>
  <c r="C168" i="3"/>
  <c r="D167" i="3"/>
  <c r="C167" i="3"/>
  <c r="D166" i="3"/>
  <c r="C166" i="3"/>
  <c r="D165" i="3"/>
  <c r="C165" i="3"/>
  <c r="D164" i="3"/>
  <c r="C164" i="3"/>
  <c r="D163" i="3"/>
  <c r="C163" i="3"/>
  <c r="D162" i="3"/>
  <c r="C162" i="3"/>
  <c r="D161" i="3"/>
  <c r="C161" i="3"/>
  <c r="D160" i="3"/>
  <c r="C160" i="3"/>
  <c r="D159" i="3"/>
  <c r="C159" i="3"/>
  <c r="D158" i="3"/>
  <c r="C158" i="3"/>
  <c r="D157" i="3"/>
  <c r="C157" i="3"/>
  <c r="D156" i="3"/>
  <c r="C156" i="3"/>
  <c r="D155" i="3"/>
  <c r="C155" i="3"/>
  <c r="D154" i="3"/>
  <c r="C154" i="3"/>
  <c r="D153" i="3"/>
  <c r="C153" i="3"/>
  <c r="D152" i="3"/>
  <c r="C152" i="3"/>
  <c r="D151" i="3"/>
  <c r="C151" i="3"/>
  <c r="D150" i="3"/>
  <c r="C150" i="3"/>
  <c r="D149" i="3"/>
  <c r="C149" i="3"/>
  <c r="D148" i="3"/>
  <c r="C148" i="3"/>
  <c r="D147" i="3"/>
  <c r="C147" i="3"/>
  <c r="D146" i="3"/>
  <c r="C146" i="3"/>
  <c r="D145" i="3"/>
  <c r="C145" i="3"/>
  <c r="D144" i="3"/>
  <c r="C144" i="3"/>
  <c r="D143" i="3"/>
  <c r="C143" i="3"/>
  <c r="D142" i="3"/>
  <c r="C142" i="3"/>
  <c r="D141" i="3"/>
  <c r="C141" i="3"/>
  <c r="D140" i="3"/>
  <c r="C140" i="3"/>
  <c r="D139" i="3"/>
  <c r="C139" i="3"/>
  <c r="D138" i="3"/>
  <c r="C138" i="3"/>
  <c r="D137" i="3"/>
  <c r="C137" i="3"/>
  <c r="D136" i="3"/>
  <c r="C136" i="3"/>
  <c r="D135" i="3"/>
  <c r="C135" i="3"/>
  <c r="D134" i="3"/>
  <c r="C134" i="3"/>
  <c r="D133" i="3"/>
  <c r="C133" i="3"/>
  <c r="D132" i="3"/>
  <c r="C132" i="3"/>
  <c r="D131" i="3"/>
  <c r="C131" i="3"/>
  <c r="D130" i="3"/>
  <c r="C130" i="3"/>
  <c r="D129" i="3"/>
  <c r="C129" i="3"/>
  <c r="D128" i="3"/>
  <c r="C128" i="3"/>
  <c r="D127" i="3"/>
  <c r="C127" i="3"/>
  <c r="D126" i="3"/>
  <c r="C126" i="3"/>
  <c r="D125" i="3"/>
  <c r="C125" i="3"/>
  <c r="D124" i="3"/>
  <c r="C124" i="3"/>
  <c r="D123" i="3"/>
  <c r="C123" i="3"/>
  <c r="D122" i="3"/>
  <c r="C122" i="3"/>
  <c r="D121" i="3"/>
  <c r="C121" i="3"/>
  <c r="D120" i="3"/>
  <c r="C120" i="3"/>
  <c r="D119" i="3"/>
  <c r="C119" i="3"/>
  <c r="D118" i="3"/>
  <c r="C118" i="3"/>
  <c r="D117" i="3"/>
  <c r="C117" i="3"/>
  <c r="D116" i="3"/>
  <c r="C116" i="3"/>
  <c r="D115" i="3"/>
  <c r="C115" i="3"/>
  <c r="D114" i="3"/>
  <c r="C114" i="3"/>
  <c r="D113" i="3"/>
  <c r="C113" i="3"/>
  <c r="D112" i="3"/>
  <c r="C112" i="3"/>
  <c r="D111" i="3"/>
  <c r="C111" i="3"/>
  <c r="D110" i="3"/>
  <c r="C110" i="3"/>
  <c r="D109" i="3"/>
  <c r="C109" i="3"/>
  <c r="D108" i="3"/>
  <c r="C108" i="3"/>
  <c r="D107" i="3"/>
  <c r="C107" i="3"/>
  <c r="D106" i="3"/>
  <c r="C106" i="3"/>
  <c r="D105" i="3"/>
  <c r="C105" i="3"/>
  <c r="D104" i="3"/>
  <c r="C104" i="3"/>
  <c r="D103" i="3"/>
  <c r="C103" i="3"/>
  <c r="D102" i="3"/>
  <c r="C102" i="3"/>
  <c r="D101" i="3"/>
  <c r="C101" i="3"/>
  <c r="D100" i="3"/>
  <c r="C100" i="3"/>
  <c r="D99" i="3"/>
  <c r="C99" i="3"/>
  <c r="D98" i="3"/>
  <c r="C98" i="3"/>
  <c r="D97" i="3"/>
  <c r="C97" i="3"/>
  <c r="D96" i="3"/>
  <c r="C96" i="3"/>
  <c r="D95" i="3"/>
  <c r="C95" i="3"/>
  <c r="D94" i="3"/>
  <c r="C94" i="3"/>
  <c r="D93" i="3"/>
  <c r="C93" i="3"/>
  <c r="D92" i="3"/>
  <c r="C92" i="3"/>
  <c r="D91" i="3"/>
  <c r="C91" i="3"/>
  <c r="D90" i="3"/>
  <c r="C90" i="3"/>
  <c r="D89" i="3"/>
  <c r="C89" i="3"/>
  <c r="D88" i="3"/>
  <c r="C88" i="3"/>
  <c r="D87" i="3"/>
  <c r="C87" i="3"/>
  <c r="D86" i="3"/>
  <c r="C86" i="3"/>
  <c r="D85" i="3"/>
  <c r="C85" i="3"/>
  <c r="D84" i="3"/>
  <c r="C84" i="3"/>
  <c r="D83" i="3"/>
  <c r="C83" i="3"/>
  <c r="D82" i="3"/>
  <c r="C82" i="3"/>
  <c r="D81" i="3"/>
  <c r="C81" i="3"/>
  <c r="D80" i="3"/>
  <c r="C80" i="3"/>
  <c r="D79" i="3"/>
  <c r="C79" i="3"/>
  <c r="D78" i="3"/>
  <c r="C78" i="3"/>
  <c r="D77" i="3"/>
  <c r="C77" i="3"/>
  <c r="D76" i="3"/>
  <c r="C76" i="3"/>
  <c r="D75" i="3"/>
  <c r="C75" i="3"/>
  <c r="D74" i="3"/>
  <c r="C74" i="3"/>
  <c r="D73" i="3"/>
  <c r="C73" i="3"/>
  <c r="D72" i="3"/>
  <c r="C72" i="3"/>
  <c r="D71" i="3"/>
  <c r="C71" i="3"/>
  <c r="D70" i="3"/>
  <c r="C70" i="3"/>
  <c r="D69" i="3"/>
  <c r="C69" i="3"/>
  <c r="D68" i="3"/>
  <c r="C68" i="3"/>
  <c r="D67" i="3"/>
  <c r="C67" i="3"/>
  <c r="D66" i="3"/>
  <c r="C66" i="3"/>
  <c r="D65" i="3"/>
  <c r="C65" i="3"/>
  <c r="D64" i="3"/>
  <c r="C64" i="3"/>
  <c r="D63" i="3"/>
  <c r="C63" i="3"/>
  <c r="D62" i="3"/>
  <c r="C62" i="3"/>
  <c r="D61" i="3"/>
  <c r="C61" i="3"/>
  <c r="D60" i="3"/>
  <c r="C60" i="3"/>
  <c r="D59" i="3"/>
  <c r="C59" i="3"/>
  <c r="D58" i="3"/>
  <c r="C58" i="3"/>
  <c r="D57" i="3"/>
  <c r="C57" i="3"/>
  <c r="D56" i="3"/>
  <c r="C56" i="3"/>
  <c r="D55" i="3"/>
  <c r="C55" i="3"/>
  <c r="D54" i="3"/>
  <c r="C54" i="3"/>
  <c r="D53" i="3"/>
  <c r="C53" i="3"/>
  <c r="D52" i="3"/>
  <c r="C52" i="3"/>
  <c r="D51" i="3"/>
  <c r="C51" i="3"/>
  <c r="D50" i="3"/>
  <c r="C50" i="3"/>
  <c r="D49" i="3"/>
  <c r="C49" i="3"/>
  <c r="D48" i="3"/>
  <c r="C48" i="3"/>
  <c r="D47" i="3"/>
  <c r="C47" i="3"/>
  <c r="D46" i="3"/>
  <c r="C46" i="3"/>
  <c r="D45" i="3"/>
  <c r="C45" i="3"/>
  <c r="D44" i="3"/>
  <c r="C44" i="3"/>
  <c r="D43" i="3"/>
  <c r="C43" i="3"/>
  <c r="D42" i="3"/>
  <c r="C42" i="3"/>
  <c r="D41" i="3"/>
  <c r="C41" i="3"/>
  <c r="D40" i="3"/>
  <c r="C40" i="3"/>
  <c r="D39" i="3"/>
  <c r="C39" i="3"/>
  <c r="D38" i="3"/>
  <c r="C38" i="3"/>
  <c r="D37" i="3"/>
  <c r="C37" i="3"/>
  <c r="D36" i="3"/>
  <c r="C36" i="3"/>
  <c r="D35" i="3"/>
  <c r="C35" i="3"/>
  <c r="D34" i="3"/>
  <c r="C34" i="3"/>
  <c r="D33" i="3"/>
  <c r="C33" i="3"/>
  <c r="D32" i="3"/>
  <c r="C32" i="3"/>
  <c r="D31" i="3"/>
  <c r="C31" i="3"/>
  <c r="D30" i="3"/>
  <c r="C30" i="3"/>
  <c r="D29" i="3"/>
  <c r="C29" i="3"/>
  <c r="D28" i="3"/>
  <c r="C28" i="3"/>
  <c r="D27" i="3"/>
  <c r="C27" i="3"/>
  <c r="D26" i="3"/>
  <c r="C26" i="3"/>
  <c r="D25" i="3"/>
  <c r="C25" i="3"/>
  <c r="D24" i="3"/>
  <c r="C24" i="3"/>
  <c r="D23" i="3"/>
  <c r="C23" i="3"/>
  <c r="D22" i="3"/>
  <c r="C22" i="3"/>
  <c r="D21" i="3"/>
  <c r="C21" i="3"/>
  <c r="D20" i="3"/>
  <c r="C20" i="3"/>
  <c r="D19" i="3"/>
  <c r="C19" i="3"/>
  <c r="D18" i="3"/>
  <c r="C18" i="3"/>
  <c r="D17" i="3"/>
  <c r="C17" i="3"/>
  <c r="D16" i="3"/>
  <c r="C16" i="3"/>
  <c r="D15" i="3"/>
  <c r="C15" i="3"/>
  <c r="D14" i="3"/>
  <c r="C14" i="3"/>
  <c r="C6" i="1"/>
  <c r="D13" i="3"/>
  <c r="D12" i="3"/>
  <c r="B13" i="3" s="1"/>
  <c r="B14" i="3" s="1"/>
  <c r="C13" i="3"/>
  <c r="C12" i="3"/>
  <c r="B12" i="3"/>
  <c r="B9" i="3"/>
  <c r="B4" i="3"/>
  <c r="C22" i="1"/>
  <c r="C23" i="1" s="1"/>
  <c r="D23" i="1"/>
  <c r="E23" i="1"/>
  <c r="F23" i="1"/>
  <c r="F22" i="1"/>
  <c r="D22" i="1"/>
  <c r="E22" i="1"/>
  <c r="C15" i="1"/>
  <c r="C17" i="1" s="1"/>
  <c r="F21" i="1"/>
  <c r="D21" i="1"/>
  <c r="E21" i="1"/>
  <c r="C21" i="1"/>
  <c r="F20" i="1"/>
  <c r="D20" i="1"/>
  <c r="E20" i="1"/>
  <c r="D19" i="1"/>
  <c r="E19" i="1"/>
  <c r="F19" i="1"/>
  <c r="D17" i="1"/>
  <c r="E17" i="1"/>
  <c r="F17" i="1"/>
  <c r="D6" i="1"/>
  <c r="E6" i="1"/>
  <c r="F6" i="1"/>
  <c r="D16" i="1"/>
  <c r="E16" i="1"/>
  <c r="F16" i="1"/>
  <c r="C16" i="1"/>
  <c r="B3" i="2"/>
  <c r="F15" i="1"/>
  <c r="D15" i="1"/>
  <c r="E15" i="1"/>
  <c r="D11" i="1"/>
  <c r="D10" i="1"/>
  <c r="E10" i="1"/>
  <c r="F10" i="1"/>
  <c r="E11" i="1"/>
  <c r="F11" i="1"/>
  <c r="D12" i="1"/>
  <c r="E12" i="1"/>
  <c r="F12" i="1"/>
  <c r="D13" i="1"/>
  <c r="E13" i="1"/>
  <c r="F13" i="1"/>
  <c r="C11" i="1"/>
  <c r="C12" i="1"/>
  <c r="C13" i="1"/>
  <c r="C10" i="1"/>
  <c r="F5" i="1"/>
  <c r="E5" i="1"/>
  <c r="D5" i="1"/>
  <c r="D4" i="1"/>
  <c r="E4" i="1" s="1"/>
  <c r="F4" i="1" s="1"/>
  <c r="A26" i="1"/>
  <c r="C372" i="3" l="1"/>
  <c r="B15" i="3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D372" i="3"/>
  <c r="C19" i="1"/>
  <c r="C20" i="1" s="1"/>
  <c r="B369" i="3" l="1"/>
  <c r="B370" i="3" s="1"/>
  <c r="B371" i="3" s="1"/>
</calcChain>
</file>

<file path=xl/sharedStrings.xml><?xml version="1.0" encoding="utf-8"?>
<sst xmlns="http://schemas.openxmlformats.org/spreadsheetml/2006/main" count="57" uniqueCount="51">
  <si>
    <t>Loan Information</t>
  </si>
  <si>
    <t>Original Loan (machine + installation)</t>
  </si>
  <si>
    <t>Sales Volume</t>
  </si>
  <si>
    <t>Annual Interest Rate</t>
  </si>
  <si>
    <t>Selling Price per Tumbler</t>
  </si>
  <si>
    <t>Loan duration yrs</t>
  </si>
  <si>
    <t>Gross Revenue</t>
  </si>
  <si>
    <t>Number of periods per year</t>
  </si>
  <si>
    <t>Ending Value of Loan</t>
  </si>
  <si>
    <t>Expenses</t>
  </si>
  <si>
    <t>Variable Expenses (amounts per unit)</t>
  </si>
  <si>
    <t>$/Each</t>
  </si>
  <si>
    <t>Cost of Goods Sold</t>
  </si>
  <si>
    <t>Marketing Cost</t>
  </si>
  <si>
    <t>Shipping Cost</t>
  </si>
  <si>
    <t>Cost Savings per Tumbler from new equipment</t>
  </si>
  <si>
    <t>Fixed Expenses (amounts per year)</t>
  </si>
  <si>
    <t>Interest Expense</t>
  </si>
  <si>
    <t>Depreciation</t>
  </si>
  <si>
    <t>Taxable Income</t>
  </si>
  <si>
    <t>Corporate Tax Rate</t>
  </si>
  <si>
    <t>State &amp; Federal Taxes Owed</t>
  </si>
  <si>
    <t>Income After Taxes</t>
  </si>
  <si>
    <t>Add Back Depreciation</t>
  </si>
  <si>
    <t>Subtract Principal Payments</t>
  </si>
  <si>
    <t>Projected Cash Flow Estimate</t>
  </si>
  <si>
    <t>Depreciation Values</t>
  </si>
  <si>
    <t>Range Name</t>
  </si>
  <si>
    <t>Value</t>
  </si>
  <si>
    <t>Capital</t>
  </si>
  <si>
    <t>Salvage</t>
  </si>
  <si>
    <t>Life</t>
  </si>
  <si>
    <t>Amortization Table Loan</t>
  </si>
  <si>
    <t>Loan Duration</t>
  </si>
  <si>
    <t>Interest Paid</t>
  </si>
  <si>
    <t>Credit Rating</t>
  </si>
  <si>
    <t>Interest Rate</t>
  </si>
  <si>
    <t>Good</t>
  </si>
  <si>
    <t>Poor</t>
  </si>
  <si>
    <t>Original Loan</t>
  </si>
  <si>
    <t>Fair</t>
  </si>
  <si>
    <t>Loan duration (yrs)</t>
  </si>
  <si>
    <t>Excellent</t>
  </si>
  <si>
    <t>Monthly Payment</t>
  </si>
  <si>
    <t>Payment Period</t>
  </si>
  <si>
    <t>Remaining Principal</t>
  </si>
  <si>
    <t>Interest Payment</t>
  </si>
  <si>
    <t>Principal Payment</t>
  </si>
  <si>
    <t>Total</t>
  </si>
  <si>
    <t>Spring 2024</t>
  </si>
  <si>
    <r>
      <t>Zeus Tumbler Project - Projected 4-Year Cash Flow Estimate</t>
    </r>
    <r>
      <rPr>
        <b/>
        <sz val="11"/>
        <color theme="0"/>
        <rFont val="Calibri"/>
        <family val="2"/>
        <scheme val="minor"/>
      </rPr>
      <t xml:space="preserve"> - 2/25/2024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</si>
</sst>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Year Number&quot;;&quot;Year Number&quot;;&quot;Year Number&quot;;&quot;Year Number&quot;"/>
    <numFmt numFmtId="165" formatCode="&quot;Income&quot;;&quot;Income&quot;;&quot;Income&quot;;&quot;Income&quot;"/>
    <numFmt numFmtId="166" formatCode="&quot;$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BFECB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0" xfId="0" applyFont="1"/>
    <xf numFmtId="165" fontId="5" fillId="2" borderId="1" xfId="0" applyNumberFormat="1" applyFont="1" applyFill="1" applyBorder="1"/>
    <xf numFmtId="0" fontId="5" fillId="2" borderId="1" xfId="0" applyFont="1" applyFill="1" applyBorder="1" applyAlignment="1">
      <alignment horizontal="center"/>
    </xf>
    <xf numFmtId="0" fontId="3" fillId="0" borderId="1" xfId="0" applyFont="1" applyBorder="1"/>
    <xf numFmtId="166" fontId="3" fillId="0" borderId="1" xfId="1" applyNumberFormat="1" applyFont="1" applyBorder="1"/>
    <xf numFmtId="0" fontId="0" fillId="0" borderId="1" xfId="0" applyBorder="1" applyAlignment="1">
      <alignment horizontal="left" indent="4"/>
    </xf>
    <xf numFmtId="0" fontId="0" fillId="3" borderId="1" xfId="0" applyFill="1" applyBorder="1"/>
    <xf numFmtId="10" fontId="3" fillId="0" borderId="1" xfId="2" applyNumberFormat="1" applyFont="1" applyBorder="1"/>
    <xf numFmtId="0" fontId="3" fillId="2" borderId="1" xfId="0" applyFont="1" applyFill="1" applyBorder="1"/>
    <xf numFmtId="0" fontId="5" fillId="2" borderId="1" xfId="0" applyFont="1" applyFill="1" applyBorder="1"/>
    <xf numFmtId="0" fontId="5" fillId="2" borderId="1" xfId="0" applyFont="1" applyFill="1" applyBorder="1" applyAlignment="1">
      <alignment horizontal="left" indent="2"/>
    </xf>
    <xf numFmtId="0" fontId="0" fillId="0" borderId="1" xfId="0" applyBorder="1" applyAlignment="1">
      <alignment horizontal="left" wrapText="1" indent="4"/>
    </xf>
    <xf numFmtId="0" fontId="0" fillId="0" borderId="1" xfId="0" applyBorder="1"/>
    <xf numFmtId="9" fontId="0" fillId="0" borderId="1" xfId="0" applyNumberFormat="1" applyBorder="1"/>
    <xf numFmtId="0" fontId="3" fillId="3" borderId="1" xfId="0" applyFont="1" applyFill="1" applyBorder="1"/>
    <xf numFmtId="0" fontId="4" fillId="0" borderId="0" xfId="0" applyFont="1"/>
    <xf numFmtId="14" fontId="4" fillId="0" borderId="0" xfId="0" applyNumberFormat="1" applyFont="1"/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44" fontId="0" fillId="0" borderId="1" xfId="0" applyNumberFormat="1" applyBorder="1"/>
    <xf numFmtId="9" fontId="0" fillId="0" borderId="1" xfId="2" applyFont="1" applyBorder="1"/>
    <xf numFmtId="10" fontId="0" fillId="0" borderId="1" xfId="0" applyNumberFormat="1" applyBorder="1"/>
    <xf numFmtId="43" fontId="0" fillId="0" borderId="1" xfId="0" applyNumberFormat="1" applyBorder="1"/>
    <xf numFmtId="44" fontId="0" fillId="0" borderId="0" xfId="0" applyNumberFormat="1"/>
    <xf numFmtId="8" fontId="0" fillId="0" borderId="0" xfId="0" applyNumberFormat="1"/>
    <xf numFmtId="44" fontId="3" fillId="2" borderId="1" xfId="0" applyNumberFormat="1" applyFont="1" applyFill="1" applyBorder="1"/>
    <xf numFmtId="43" fontId="0" fillId="4" borderId="1" xfId="0" applyNumberFormat="1" applyFill="1" applyBorder="1"/>
    <xf numFmtId="44" fontId="5" fillId="2" borderId="1" xfId="0" applyNumberFormat="1" applyFont="1" applyFill="1" applyBorder="1" applyAlignment="1">
      <alignment horizontal="center"/>
    </xf>
    <xf numFmtId="44" fontId="0" fillId="0" borderId="1" xfId="1" applyFont="1" applyBorder="1"/>
    <xf numFmtId="0" fontId="3" fillId="0" borderId="1" xfId="0" applyFont="1" applyBorder="1" applyAlignment="1">
      <alignment horizontal="center"/>
    </xf>
    <xf numFmtId="164" fontId="5" fillId="2" borderId="2" xfId="0" applyNumberFormat="1" applyFont="1" applyFill="1" applyBorder="1" applyAlignment="1">
      <alignment horizontal="center"/>
    </xf>
    <xf numFmtId="164" fontId="5" fillId="2" borderId="3" xfId="0" applyNumberFormat="1" applyFont="1" applyFill="1" applyBorder="1" applyAlignment="1">
      <alignment horizontal="center"/>
    </xf>
    <xf numFmtId="164" fontId="5" fillId="2" borderId="4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zoomScale="70" zoomScaleNormal="70" workbookViewId="0">
      <selection sqref="A1:F1"/>
    </sheetView>
  </sheetViews>
  <sheetFormatPr defaultRowHeight="14.4" x14ac:dyDescent="0.3"/>
  <cols>
    <col min="1" max="1" width="43.6640625" customWidth="1"/>
    <col min="2" max="2" width="7.6640625" bestFit="1" customWidth="1"/>
    <col min="3" max="4" width="12.6640625" bestFit="1" customWidth="1"/>
    <col min="5" max="6" width="13.33203125" bestFit="1" customWidth="1"/>
    <col min="9" max="9" width="34" bestFit="1" customWidth="1"/>
    <col min="10" max="10" width="12.5546875" bestFit="1" customWidth="1"/>
  </cols>
  <sheetData>
    <row r="1" spans="1:10" s="2" customFormat="1" x14ac:dyDescent="0.3">
      <c r="A1" s="31" t="s">
        <v>50</v>
      </c>
      <c r="B1" s="31"/>
      <c r="C1" s="31"/>
      <c r="D1" s="31"/>
      <c r="E1" s="31"/>
      <c r="F1" s="31"/>
      <c r="I1"/>
      <c r="J1"/>
    </row>
    <row r="2" spans="1:10" s="2" customFormat="1" x14ac:dyDescent="0.3">
      <c r="A2" s="1"/>
      <c r="B2" s="1"/>
      <c r="C2" s="32" t="s">
        <v>49</v>
      </c>
      <c r="D2" s="33"/>
      <c r="E2" s="33"/>
      <c r="F2" s="34"/>
      <c r="I2" s="35" t="s">
        <v>0</v>
      </c>
      <c r="J2" s="36"/>
    </row>
    <row r="3" spans="1:10" s="2" customFormat="1" x14ac:dyDescent="0.3">
      <c r="A3" s="3" t="s">
        <v>49</v>
      </c>
      <c r="B3" s="4"/>
      <c r="C3" s="4">
        <v>1</v>
      </c>
      <c r="D3" s="4">
        <v>2</v>
      </c>
      <c r="E3" s="4">
        <v>3</v>
      </c>
      <c r="F3" s="4">
        <v>4</v>
      </c>
      <c r="I3" s="5" t="s">
        <v>1</v>
      </c>
      <c r="J3" s="6">
        <v>93575</v>
      </c>
    </row>
    <row r="4" spans="1:10" x14ac:dyDescent="0.3">
      <c r="A4" s="7" t="s">
        <v>2</v>
      </c>
      <c r="B4" s="8"/>
      <c r="C4" s="28">
        <v>2075</v>
      </c>
      <c r="D4" s="28">
        <f>MROUND(C4*ProjectedGrowth,10)</f>
        <v>3010</v>
      </c>
      <c r="E4" s="28">
        <f t="shared" ref="E4:F4" si="0">MROUND(D4*ProjectedGrowth,10)</f>
        <v>4360</v>
      </c>
      <c r="F4" s="28">
        <f t="shared" si="0"/>
        <v>6320</v>
      </c>
      <c r="I4" s="5" t="s">
        <v>3</v>
      </c>
      <c r="J4" s="9">
        <v>8.1000000000000003E-2</v>
      </c>
    </row>
    <row r="5" spans="1:10" x14ac:dyDescent="0.3">
      <c r="A5" s="7" t="s">
        <v>4</v>
      </c>
      <c r="B5" s="8"/>
      <c r="C5" s="28">
        <v>21.75</v>
      </c>
      <c r="D5" s="28">
        <f>ROUND(C5*Inflation,2)</f>
        <v>22.71</v>
      </c>
      <c r="E5" s="28">
        <f t="shared" ref="E5:F5" si="1">ROUND(D5*Inflation,2)</f>
        <v>23.71</v>
      </c>
      <c r="F5" s="28">
        <f t="shared" si="1"/>
        <v>24.75</v>
      </c>
      <c r="I5" s="5" t="s">
        <v>5</v>
      </c>
      <c r="J5" s="5">
        <v>4</v>
      </c>
    </row>
    <row r="6" spans="1:10" x14ac:dyDescent="0.3">
      <c r="A6" s="10" t="s">
        <v>6</v>
      </c>
      <c r="B6" s="10"/>
      <c r="C6" s="27">
        <f>C4*C5</f>
        <v>45131.25</v>
      </c>
      <c r="D6" s="27">
        <f>D4*D5</f>
        <v>68357.100000000006</v>
      </c>
      <c r="E6" s="27">
        <f t="shared" ref="E6:F6" si="2">E4*E5</f>
        <v>103375.6</v>
      </c>
      <c r="F6" s="27">
        <f t="shared" si="2"/>
        <v>156420</v>
      </c>
      <c r="I6" s="5" t="s">
        <v>7</v>
      </c>
      <c r="J6" s="5">
        <v>12</v>
      </c>
    </row>
    <row r="7" spans="1:10" s="2" customFormat="1" x14ac:dyDescent="0.3">
      <c r="A7"/>
      <c r="B7"/>
      <c r="C7"/>
      <c r="D7"/>
      <c r="E7"/>
      <c r="F7"/>
      <c r="I7" s="5" t="s">
        <v>8</v>
      </c>
      <c r="J7" s="5">
        <v>0</v>
      </c>
    </row>
    <row r="8" spans="1:10" x14ac:dyDescent="0.3">
      <c r="A8" s="11" t="s">
        <v>9</v>
      </c>
      <c r="B8" s="4"/>
    </row>
    <row r="9" spans="1:10" s="2" customFormat="1" x14ac:dyDescent="0.3">
      <c r="A9" s="12" t="s">
        <v>10</v>
      </c>
      <c r="B9" s="4" t="s">
        <v>11</v>
      </c>
      <c r="C9"/>
      <c r="D9"/>
      <c r="E9"/>
      <c r="F9"/>
    </row>
    <row r="10" spans="1:10" x14ac:dyDescent="0.3">
      <c r="A10" s="13" t="s">
        <v>12</v>
      </c>
      <c r="B10" s="24">
        <v>-12.25</v>
      </c>
      <c r="C10" s="28">
        <f>C$4*$B10</f>
        <v>-25418.75</v>
      </c>
      <c r="D10" s="28">
        <f>D$4*$B10</f>
        <v>-36872.5</v>
      </c>
      <c r="E10" s="28">
        <f t="shared" ref="E10:F10" si="3">E$4*$B10</f>
        <v>-53410</v>
      </c>
      <c r="F10" s="28">
        <f t="shared" si="3"/>
        <v>-77420</v>
      </c>
    </row>
    <row r="11" spans="1:10" x14ac:dyDescent="0.3">
      <c r="A11" s="13" t="s">
        <v>13</v>
      </c>
      <c r="B11" s="24">
        <v>-0.81</v>
      </c>
      <c r="C11" s="28">
        <f t="shared" ref="C11:F13" si="4">C$4*$B11</f>
        <v>-1680.75</v>
      </c>
      <c r="D11" s="28">
        <f>D$4*$B11</f>
        <v>-2438.1000000000004</v>
      </c>
      <c r="E11" s="28">
        <f t="shared" si="4"/>
        <v>-3531.6000000000004</v>
      </c>
      <c r="F11" s="28">
        <f t="shared" si="4"/>
        <v>-5119.2000000000007</v>
      </c>
    </row>
    <row r="12" spans="1:10" x14ac:dyDescent="0.3">
      <c r="A12" s="13" t="s">
        <v>14</v>
      </c>
      <c r="B12" s="24">
        <v>-1.31</v>
      </c>
      <c r="C12" s="28">
        <f t="shared" si="4"/>
        <v>-2718.25</v>
      </c>
      <c r="D12" s="28">
        <f t="shared" si="4"/>
        <v>-3943.1000000000004</v>
      </c>
      <c r="E12" s="28">
        <f t="shared" si="4"/>
        <v>-5711.6</v>
      </c>
      <c r="F12" s="28">
        <f t="shared" si="4"/>
        <v>-8279.2000000000007</v>
      </c>
    </row>
    <row r="13" spans="1:10" ht="28.8" x14ac:dyDescent="0.3">
      <c r="A13" s="13" t="s">
        <v>15</v>
      </c>
      <c r="B13" s="24">
        <v>2.0299999999999998</v>
      </c>
      <c r="C13" s="28">
        <f t="shared" si="4"/>
        <v>4212.25</v>
      </c>
      <c r="D13" s="28">
        <f t="shared" si="4"/>
        <v>6110.2999999999993</v>
      </c>
      <c r="E13" s="28">
        <f t="shared" si="4"/>
        <v>8850.7999999999993</v>
      </c>
      <c r="F13" s="28">
        <f t="shared" si="4"/>
        <v>12829.599999999999</v>
      </c>
    </row>
    <row r="14" spans="1:10" x14ac:dyDescent="0.3">
      <c r="A14" s="12" t="s">
        <v>16</v>
      </c>
      <c r="B14" s="8"/>
      <c r="C14" s="25"/>
      <c r="D14" s="25"/>
      <c r="E14" s="25"/>
      <c r="F14" s="25"/>
    </row>
    <row r="15" spans="1:10" x14ac:dyDescent="0.3">
      <c r="A15" s="7" t="s">
        <v>17</v>
      </c>
      <c r="B15" s="8"/>
      <c r="C15" s="28">
        <f>CUMIPMT($J4/$J6,$J5*$J6,$J3,C3*$J6-($J6-1),C3*$J6,0)</f>
        <v>-6824.4246723683464</v>
      </c>
      <c r="D15" s="28">
        <f t="shared" ref="D15:E15" si="5">CUMIPMT($J4/$J6,$J5*$J6,$J3,D3*$J6-($J6-1),D3*$J6,0)</f>
        <v>-5088.9663559412511</v>
      </c>
      <c r="E15" s="28">
        <f t="shared" si="5"/>
        <v>-3207.5979513877646</v>
      </c>
      <c r="F15" s="28">
        <f>CUMIPMT($J4/$J6,$J5*$J6,$J3,F3*$J6-($J6-1),F3*$J6,0)</f>
        <v>-1168.0519478057213</v>
      </c>
    </row>
    <row r="16" spans="1:10" x14ac:dyDescent="0.3">
      <c r="A16" s="7" t="s">
        <v>18</v>
      </c>
      <c r="B16" s="8"/>
      <c r="C16" s="28">
        <f>-SLN(Capital,Salvage,Life)</f>
        <v>-7715</v>
      </c>
      <c r="D16" s="28">
        <f>-SLN(Capital,Salvage,Life)</f>
        <v>-7715</v>
      </c>
      <c r="E16" s="28">
        <f>-SLN(Capital,Salvage,Life)</f>
        <v>-7715</v>
      </c>
      <c r="F16" s="28">
        <f>-SLN(Capital,Salvage,Life)</f>
        <v>-7715</v>
      </c>
    </row>
    <row r="17" spans="1:6" s="2" customFormat="1" x14ac:dyDescent="0.3">
      <c r="A17" s="11" t="s">
        <v>19</v>
      </c>
      <c r="B17" s="4"/>
      <c r="C17" s="29">
        <f>SUM(C6:C16)</f>
        <v>4986.3253276316536</v>
      </c>
      <c r="D17" s="29">
        <f>SUM(D6:D16)</f>
        <v>18409.733644058757</v>
      </c>
      <c r="E17" s="29">
        <f>SUM(E6:E16)</f>
        <v>38650.602048612243</v>
      </c>
      <c r="F17" s="29">
        <f t="shared" ref="F17" si="6">SUM(F6:F16)</f>
        <v>69548.148052194287</v>
      </c>
    </row>
    <row r="18" spans="1:6" x14ac:dyDescent="0.3">
      <c r="A18" s="7" t="s">
        <v>20</v>
      </c>
      <c r="B18" s="15">
        <v>0.32</v>
      </c>
      <c r="C18" s="25"/>
      <c r="D18" s="25"/>
      <c r="E18" s="25"/>
      <c r="F18" s="25"/>
    </row>
    <row r="19" spans="1:6" x14ac:dyDescent="0.3">
      <c r="A19" s="7" t="s">
        <v>21</v>
      </c>
      <c r="B19" s="8"/>
      <c r="C19" s="28">
        <f>-IF(C17&gt;=0,ROUND($B18*C17,0),0)</f>
        <v>-1596</v>
      </c>
      <c r="D19" s="28">
        <f>-IF(D17&gt;=0,ROUND($B18*D17,0),0)</f>
        <v>-5891</v>
      </c>
      <c r="E19" s="28">
        <f t="shared" ref="E19:F19" si="7">-IF(E17&gt;=0,ROUND($B18*E17,0),0)</f>
        <v>-12368</v>
      </c>
      <c r="F19" s="28">
        <f t="shared" si="7"/>
        <v>-22255</v>
      </c>
    </row>
    <row r="20" spans="1:6" s="2" customFormat="1" x14ac:dyDescent="0.3">
      <c r="A20" s="12" t="s">
        <v>22</v>
      </c>
      <c r="B20" s="16"/>
      <c r="C20" s="29">
        <f>SUM(C17:C19)</f>
        <v>3390.3253276316536</v>
      </c>
      <c r="D20" s="29">
        <f>SUM(D17:D19)</f>
        <v>12518.733644058757</v>
      </c>
      <c r="E20" s="29">
        <f t="shared" ref="E20" si="8">SUM(E17:E19)</f>
        <v>26282.602048612243</v>
      </c>
      <c r="F20" s="29">
        <f>SUM(F17:F19)</f>
        <v>47293.148052194287</v>
      </c>
    </row>
    <row r="21" spans="1:6" x14ac:dyDescent="0.3">
      <c r="A21" s="7" t="s">
        <v>23</v>
      </c>
      <c r="B21" s="8"/>
      <c r="C21" s="28">
        <f>-C16</f>
        <v>7715</v>
      </c>
      <c r="D21" s="28">
        <f t="shared" ref="D21:E21" si="9">-D16</f>
        <v>7715</v>
      </c>
      <c r="E21" s="28">
        <f t="shared" si="9"/>
        <v>7715</v>
      </c>
      <c r="F21" s="28">
        <f>-F16</f>
        <v>7715</v>
      </c>
    </row>
    <row r="22" spans="1:6" x14ac:dyDescent="0.3">
      <c r="A22" s="7" t="s">
        <v>24</v>
      </c>
      <c r="B22" s="8"/>
      <c r="C22" s="28">
        <f>PPMT($J4/$J6,C3,$J5*$J6,$J3,$J7,0)</f>
        <v>-1657.2029359896476</v>
      </c>
      <c r="D22" s="28">
        <f t="shared" ref="D22:E22" si="10">PPMT($J4/$J6,D3,$J5*$J6,$J3,$J7,0)</f>
        <v>-1668.3890558075777</v>
      </c>
      <c r="E22" s="28">
        <f t="shared" si="10"/>
        <v>-1679.650681934279</v>
      </c>
      <c r="F22" s="28">
        <f>PPMT($J4/$J6,F3,$J5*$J6,$J3,$J7,0)</f>
        <v>-1690.9883240373354</v>
      </c>
    </row>
    <row r="23" spans="1:6" s="2" customFormat="1" x14ac:dyDescent="0.3">
      <c r="A23" s="11" t="s">
        <v>25</v>
      </c>
      <c r="B23" s="4"/>
      <c r="C23" s="29">
        <f>SUM(C20:C22)</f>
        <v>9448.1223916420058</v>
      </c>
      <c r="D23" s="29">
        <f t="shared" ref="D23:F23" si="11">SUM(D20:D22)</f>
        <v>18565.344588251181</v>
      </c>
      <c r="E23" s="29">
        <f t="shared" si="11"/>
        <v>32317.951366677964</v>
      </c>
      <c r="F23" s="29">
        <f t="shared" si="11"/>
        <v>53317.159728156948</v>
      </c>
    </row>
    <row r="24" spans="1:6" x14ac:dyDescent="0.3">
      <c r="A24" s="2"/>
      <c r="B24" s="2"/>
      <c r="C24" s="2"/>
      <c r="D24" s="2"/>
      <c r="E24" s="2"/>
      <c r="F24" s="2"/>
    </row>
    <row r="26" spans="1:6" x14ac:dyDescent="0.3">
      <c r="A26" s="17" t="str">
        <f>Semester</f>
        <v>2024 Spring</v>
      </c>
    </row>
    <row r="27" spans="1:6" x14ac:dyDescent="0.3">
      <c r="A27" s="18">
        <v>45347</v>
      </c>
    </row>
  </sheetData>
  <mergeCells count="3">
    <mergeCell ref="A1:F1"/>
    <mergeCell ref="C2:F2"/>
    <mergeCell ref="I2:J2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D16" sqref="D16"/>
    </sheetView>
  </sheetViews>
  <sheetFormatPr defaultRowHeight="14.4" x14ac:dyDescent="0.3"/>
  <cols>
    <col min="1" max="1" width="19.109375" bestFit="1" customWidth="1"/>
    <col min="2" max="2" width="14.44140625" customWidth="1"/>
  </cols>
  <sheetData>
    <row r="1" spans="1:2" x14ac:dyDescent="0.3">
      <c r="A1" s="31" t="s">
        <v>26</v>
      </c>
      <c r="B1" s="31"/>
    </row>
    <row r="2" spans="1:2" x14ac:dyDescent="0.3">
      <c r="A2" s="5" t="s">
        <v>27</v>
      </c>
      <c r="B2" s="5" t="s">
        <v>28</v>
      </c>
    </row>
    <row r="3" spans="1:2" x14ac:dyDescent="0.3">
      <c r="A3" s="5" t="s">
        <v>29</v>
      </c>
      <c r="B3" s="21">
        <f>CashFlow!J3</f>
        <v>93575</v>
      </c>
    </row>
    <row r="4" spans="1:2" x14ac:dyDescent="0.3">
      <c r="A4" s="5" t="s">
        <v>30</v>
      </c>
      <c r="B4" s="24">
        <v>55000</v>
      </c>
    </row>
    <row r="5" spans="1:2" x14ac:dyDescent="0.3">
      <c r="A5" s="5" t="s">
        <v>31</v>
      </c>
      <c r="B5" s="14">
        <v>5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72"/>
  <sheetViews>
    <sheetView zoomScale="111" zoomScaleNormal="120" workbookViewId="0">
      <selection activeCell="C372" sqref="C372"/>
    </sheetView>
  </sheetViews>
  <sheetFormatPr defaultRowHeight="14.4" x14ac:dyDescent="0.3"/>
  <cols>
    <col min="1" max="1" width="26" bestFit="1" customWidth="1"/>
    <col min="2" max="2" width="18.88671875" bestFit="1" customWidth="1"/>
    <col min="3" max="3" width="16.6640625" bestFit="1" customWidth="1"/>
    <col min="4" max="4" width="17.5546875" bestFit="1" customWidth="1"/>
    <col min="5" max="5" width="17.109375" customWidth="1"/>
    <col min="6" max="6" width="15" customWidth="1"/>
    <col min="7" max="8" width="12.44140625" bestFit="1" customWidth="1"/>
  </cols>
  <sheetData>
    <row r="1" spans="1:8" x14ac:dyDescent="0.3">
      <c r="A1" s="31" t="s">
        <v>32</v>
      </c>
      <c r="B1" s="31"/>
      <c r="D1" s="1" t="s">
        <v>33</v>
      </c>
      <c r="E1" s="1" t="s">
        <v>34</v>
      </c>
      <c r="G1" s="5" t="s">
        <v>35</v>
      </c>
      <c r="H1" s="5" t="s">
        <v>36</v>
      </c>
    </row>
    <row r="2" spans="1:8" x14ac:dyDescent="0.3">
      <c r="A2" s="19" t="s">
        <v>35</v>
      </c>
      <c r="B2" s="14" t="s">
        <v>37</v>
      </c>
      <c r="D2" s="20">
        <v>10</v>
      </c>
      <c r="E2" s="21">
        <v>-78660.350000000006</v>
      </c>
      <c r="G2" s="5" t="s">
        <v>38</v>
      </c>
      <c r="H2" s="22">
        <v>0.09</v>
      </c>
    </row>
    <row r="3" spans="1:8" x14ac:dyDescent="0.3">
      <c r="A3" s="5" t="s">
        <v>39</v>
      </c>
      <c r="B3" s="21">
        <v>200000</v>
      </c>
      <c r="D3" s="20">
        <v>15</v>
      </c>
      <c r="E3" s="24">
        <v>-123578.18</v>
      </c>
      <c r="G3" s="5" t="s">
        <v>40</v>
      </c>
      <c r="H3" s="22">
        <v>0.08</v>
      </c>
    </row>
    <row r="4" spans="1:8" x14ac:dyDescent="0.3">
      <c r="A4" s="5" t="s">
        <v>3</v>
      </c>
      <c r="B4" s="23">
        <f>VLOOKUP(B2,G2:H5,2,FALSE)</f>
        <v>7.0000000000000007E-2</v>
      </c>
      <c r="D4" s="20">
        <v>20</v>
      </c>
      <c r="E4" s="24">
        <v>-172143.49</v>
      </c>
      <c r="G4" s="5" t="s">
        <v>37</v>
      </c>
      <c r="H4" s="22">
        <v>7.0000000000000007E-2</v>
      </c>
    </row>
    <row r="5" spans="1:8" x14ac:dyDescent="0.3">
      <c r="A5" s="5" t="s">
        <v>41</v>
      </c>
      <c r="B5" s="14">
        <v>30</v>
      </c>
      <c r="D5" s="20">
        <v>30</v>
      </c>
      <c r="E5" s="24">
        <v>-279017.8</v>
      </c>
      <c r="G5" s="5" t="s">
        <v>42</v>
      </c>
      <c r="H5" s="22">
        <v>0.06</v>
      </c>
    </row>
    <row r="6" spans="1:8" x14ac:dyDescent="0.3">
      <c r="A6" s="5" t="s">
        <v>7</v>
      </c>
      <c r="B6" s="14">
        <v>12</v>
      </c>
    </row>
    <row r="7" spans="1:8" x14ac:dyDescent="0.3">
      <c r="A7" s="5" t="s">
        <v>8</v>
      </c>
      <c r="B7" s="14">
        <v>0</v>
      </c>
    </row>
    <row r="8" spans="1:8" x14ac:dyDescent="0.3">
      <c r="A8" s="2"/>
    </row>
    <row r="9" spans="1:8" x14ac:dyDescent="0.3">
      <c r="A9" s="5" t="s">
        <v>43</v>
      </c>
      <c r="B9" s="30">
        <f>PMT(B4/B6,B5*B6,B3,B7,0)</f>
        <v>-1330.6049903583664</v>
      </c>
    </row>
    <row r="11" spans="1:8" x14ac:dyDescent="0.3">
      <c r="A11" s="5" t="s">
        <v>44</v>
      </c>
      <c r="B11" s="5" t="s">
        <v>45</v>
      </c>
      <c r="C11" s="5" t="s">
        <v>46</v>
      </c>
      <c r="D11" s="5" t="s">
        <v>47</v>
      </c>
    </row>
    <row r="12" spans="1:8" x14ac:dyDescent="0.3">
      <c r="A12" s="14">
        <v>1</v>
      </c>
      <c r="B12" s="21">
        <f>B3</f>
        <v>200000</v>
      </c>
      <c r="C12" s="21">
        <f>IFERROR(IPMT(B$4/B$6,A12,B$5*B$6,B$3,B$7,0),0)</f>
        <v>-1166.6666666666667</v>
      </c>
      <c r="D12" s="21">
        <f>IFERROR(PPMT(B$4/B$6,A12,B$5*B$6,B$3,B$7,0),0)</f>
        <v>-163.93832369169962</v>
      </c>
      <c r="E12" s="26"/>
    </row>
    <row r="13" spans="1:8" x14ac:dyDescent="0.3">
      <c r="A13" s="14">
        <v>2</v>
      </c>
      <c r="B13" s="24">
        <f>IFERROR(B12+D12,0)</f>
        <v>199836.06167630831</v>
      </c>
      <c r="C13" s="24">
        <f t="shared" ref="C13" si="0">IFERROR(IPMT(B$4/B$6,A13,B$5*B$6,B$3,B$7,0),0)</f>
        <v>-1165.7103597784651</v>
      </c>
      <c r="D13" s="24">
        <f t="shared" ref="D13" si="1">IFERROR(PPMT(B$4/B$6,A13,B$5*B$6,B$3,B$7,0),0)</f>
        <v>-164.89463057990113</v>
      </c>
    </row>
    <row r="14" spans="1:8" x14ac:dyDescent="0.3">
      <c r="A14" s="14">
        <v>3</v>
      </c>
      <c r="B14" s="24">
        <f t="shared" ref="B14:B77" si="2">IFERROR(B13+D13,0)</f>
        <v>199671.16704572842</v>
      </c>
      <c r="C14" s="24">
        <f t="shared" ref="C14:C77" si="3">IFERROR(IPMT(B$4/B$6,A14,B$5*B$6,B$3,B$7,0),0)</f>
        <v>-1164.7484744334158</v>
      </c>
      <c r="D14" s="24">
        <f t="shared" ref="D14:D77" si="4">IFERROR(PPMT(B$4/B$6,A14,B$5*B$6,B$3,B$7,0),0)</f>
        <v>-165.8565159249506</v>
      </c>
    </row>
    <row r="15" spans="1:8" x14ac:dyDescent="0.3">
      <c r="A15" s="14">
        <v>4</v>
      </c>
      <c r="B15" s="24">
        <f t="shared" si="2"/>
        <v>199505.31052980348</v>
      </c>
      <c r="C15" s="24">
        <f t="shared" si="3"/>
        <v>-1163.7809780905202</v>
      </c>
      <c r="D15" s="24">
        <f t="shared" si="4"/>
        <v>-166.82401226784617</v>
      </c>
    </row>
    <row r="16" spans="1:8" x14ac:dyDescent="0.3">
      <c r="A16" s="14">
        <v>5</v>
      </c>
      <c r="B16" s="24">
        <f t="shared" si="2"/>
        <v>199338.48651753564</v>
      </c>
      <c r="C16" s="24">
        <f t="shared" si="3"/>
        <v>-1162.8078380189577</v>
      </c>
      <c r="D16" s="24">
        <f t="shared" si="4"/>
        <v>-167.79715233940863</v>
      </c>
    </row>
    <row r="17" spans="1:4" x14ac:dyDescent="0.3">
      <c r="A17" s="14">
        <v>6</v>
      </c>
      <c r="B17" s="24">
        <f t="shared" si="2"/>
        <v>199170.68936519622</v>
      </c>
      <c r="C17" s="24">
        <f t="shared" si="3"/>
        <v>-1161.8290212969778</v>
      </c>
      <c r="D17" s="24">
        <f t="shared" si="4"/>
        <v>-168.77596906138851</v>
      </c>
    </row>
    <row r="18" spans="1:4" x14ac:dyDescent="0.3">
      <c r="A18" s="14">
        <v>7</v>
      </c>
      <c r="B18" s="24">
        <f t="shared" si="2"/>
        <v>199001.91339613483</v>
      </c>
      <c r="C18" s="24">
        <f t="shared" si="3"/>
        <v>-1160.8444948107865</v>
      </c>
      <c r="D18" s="24">
        <f t="shared" si="4"/>
        <v>-169.76049554757986</v>
      </c>
    </row>
    <row r="19" spans="1:4" x14ac:dyDescent="0.3">
      <c r="A19" s="14">
        <v>8</v>
      </c>
      <c r="B19" s="24">
        <f t="shared" si="2"/>
        <v>198832.15290058724</v>
      </c>
      <c r="C19" s="24">
        <f t="shared" si="3"/>
        <v>-1159.8542252534257</v>
      </c>
      <c r="D19" s="24">
        <f t="shared" si="4"/>
        <v>-170.75076510494077</v>
      </c>
    </row>
    <row r="20" spans="1:4" x14ac:dyDescent="0.3">
      <c r="A20" s="14">
        <v>9</v>
      </c>
      <c r="B20" s="24">
        <f t="shared" si="2"/>
        <v>198661.40213548229</v>
      </c>
      <c r="C20" s="24">
        <f t="shared" si="3"/>
        <v>-1158.8581791236468</v>
      </c>
      <c r="D20" s="24">
        <f t="shared" si="4"/>
        <v>-171.74681123471962</v>
      </c>
    </row>
    <row r="21" spans="1:4" x14ac:dyDescent="0.3">
      <c r="A21" s="14">
        <v>10</v>
      </c>
      <c r="B21" s="24">
        <f t="shared" si="2"/>
        <v>198489.65532424758</v>
      </c>
      <c r="C21" s="24">
        <f t="shared" si="3"/>
        <v>-1157.8563227247776</v>
      </c>
      <c r="D21" s="24">
        <f t="shared" si="4"/>
        <v>-172.74866763358881</v>
      </c>
    </row>
    <row r="22" spans="1:4" x14ac:dyDescent="0.3">
      <c r="A22" s="14">
        <v>11</v>
      </c>
      <c r="B22" s="24">
        <f t="shared" si="2"/>
        <v>198316.90665661398</v>
      </c>
      <c r="C22" s="24">
        <f t="shared" si="3"/>
        <v>-1156.8486221635817</v>
      </c>
      <c r="D22" s="24">
        <f t="shared" si="4"/>
        <v>-173.75636819478476</v>
      </c>
    </row>
    <row r="23" spans="1:4" x14ac:dyDescent="0.3">
      <c r="A23" s="14">
        <v>12</v>
      </c>
      <c r="B23" s="24">
        <f t="shared" si="2"/>
        <v>198143.15028841919</v>
      </c>
      <c r="C23" s="24">
        <f t="shared" si="3"/>
        <v>-1155.8350433491121</v>
      </c>
      <c r="D23" s="24">
        <f t="shared" si="4"/>
        <v>-174.76994700925428</v>
      </c>
    </row>
    <row r="24" spans="1:4" x14ac:dyDescent="0.3">
      <c r="A24" s="14">
        <v>13</v>
      </c>
      <c r="B24" s="24">
        <f t="shared" si="2"/>
        <v>197968.38034140994</v>
      </c>
      <c r="C24" s="24">
        <f t="shared" si="3"/>
        <v>-1154.8155519915581</v>
      </c>
      <c r="D24" s="24">
        <f t="shared" si="4"/>
        <v>-175.78943836680827</v>
      </c>
    </row>
    <row r="25" spans="1:4" x14ac:dyDescent="0.3">
      <c r="A25" s="14">
        <v>14</v>
      </c>
      <c r="B25" s="24">
        <f t="shared" si="2"/>
        <v>197792.59090304314</v>
      </c>
      <c r="C25" s="24">
        <f t="shared" si="3"/>
        <v>-1153.7901136010851</v>
      </c>
      <c r="D25" s="24">
        <f t="shared" si="4"/>
        <v>-176.81487675728135</v>
      </c>
    </row>
    <row r="26" spans="1:4" x14ac:dyDescent="0.3">
      <c r="A26" s="14">
        <v>15</v>
      </c>
      <c r="B26" s="24">
        <f t="shared" si="2"/>
        <v>197615.77602628586</v>
      </c>
      <c r="C26" s="24">
        <f t="shared" si="3"/>
        <v>-1152.7586934866677</v>
      </c>
      <c r="D26" s="24">
        <f t="shared" si="4"/>
        <v>-177.84629687169883</v>
      </c>
    </row>
    <row r="27" spans="1:4" x14ac:dyDescent="0.3">
      <c r="A27" s="14">
        <v>16</v>
      </c>
      <c r="B27" s="24">
        <f t="shared" si="2"/>
        <v>197437.92972941417</v>
      </c>
      <c r="C27" s="24">
        <f t="shared" si="3"/>
        <v>-1151.7212567549159</v>
      </c>
      <c r="D27" s="24">
        <f t="shared" si="4"/>
        <v>-178.88373360345045</v>
      </c>
    </row>
    <row r="28" spans="1:4" x14ac:dyDescent="0.3">
      <c r="A28" s="14">
        <v>17</v>
      </c>
      <c r="B28" s="24">
        <f t="shared" si="2"/>
        <v>197259.04599581071</v>
      </c>
      <c r="C28" s="24">
        <f t="shared" si="3"/>
        <v>-1150.6777683088958</v>
      </c>
      <c r="D28" s="24">
        <f t="shared" si="4"/>
        <v>-179.92722204947057</v>
      </c>
    </row>
    <row r="29" spans="1:4" x14ac:dyDescent="0.3">
      <c r="A29" s="14">
        <v>18</v>
      </c>
      <c r="B29" s="24">
        <f t="shared" si="2"/>
        <v>197079.11877376123</v>
      </c>
      <c r="C29" s="24">
        <f t="shared" si="3"/>
        <v>-1149.6281928469407</v>
      </c>
      <c r="D29" s="24">
        <f t="shared" si="4"/>
        <v>-180.97679751142581</v>
      </c>
    </row>
    <row r="30" spans="1:4" x14ac:dyDescent="0.3">
      <c r="A30" s="14">
        <v>19</v>
      </c>
      <c r="B30" s="24">
        <f t="shared" si="2"/>
        <v>196898.14197624981</v>
      </c>
      <c r="C30" s="24">
        <f t="shared" si="3"/>
        <v>-1148.5724948614572</v>
      </c>
      <c r="D30" s="24">
        <f t="shared" si="4"/>
        <v>-182.03249549690909</v>
      </c>
    </row>
    <row r="31" spans="1:4" x14ac:dyDescent="0.3">
      <c r="A31" s="14">
        <v>20</v>
      </c>
      <c r="B31" s="24">
        <f t="shared" si="2"/>
        <v>196716.1094807529</v>
      </c>
      <c r="C31" s="24">
        <f t="shared" si="3"/>
        <v>-1147.5106386377254</v>
      </c>
      <c r="D31" s="24">
        <f t="shared" si="4"/>
        <v>-183.09435172064107</v>
      </c>
    </row>
    <row r="32" spans="1:4" x14ac:dyDescent="0.3">
      <c r="A32" s="14">
        <v>21</v>
      </c>
      <c r="B32" s="24">
        <f t="shared" si="2"/>
        <v>196533.01512903225</v>
      </c>
      <c r="C32" s="24">
        <f t="shared" si="3"/>
        <v>-1146.4425882526882</v>
      </c>
      <c r="D32" s="24">
        <f t="shared" si="4"/>
        <v>-184.1624021056781</v>
      </c>
    </row>
    <row r="33" spans="1:4" x14ac:dyDescent="0.3">
      <c r="A33" s="14">
        <v>22</v>
      </c>
      <c r="B33" s="24">
        <f t="shared" si="2"/>
        <v>196348.85272692656</v>
      </c>
      <c r="C33" s="24">
        <f t="shared" si="3"/>
        <v>-1145.3683075737385</v>
      </c>
      <c r="D33" s="24">
        <f t="shared" si="4"/>
        <v>-185.2366827846279</v>
      </c>
    </row>
    <row r="34" spans="1:4" x14ac:dyDescent="0.3">
      <c r="A34" s="14">
        <v>23</v>
      </c>
      <c r="B34" s="24">
        <f t="shared" si="2"/>
        <v>196163.61604414193</v>
      </c>
      <c r="C34" s="24">
        <f t="shared" si="3"/>
        <v>-1144.2877602574947</v>
      </c>
      <c r="D34" s="24">
        <f t="shared" si="4"/>
        <v>-186.31723010087157</v>
      </c>
    </row>
    <row r="35" spans="1:4" x14ac:dyDescent="0.3">
      <c r="A35" s="14">
        <v>24</v>
      </c>
      <c r="B35" s="24">
        <f t="shared" si="2"/>
        <v>195977.29881404107</v>
      </c>
      <c r="C35" s="24">
        <f t="shared" si="3"/>
        <v>-1143.2009097485729</v>
      </c>
      <c r="D35" s="24">
        <f t="shared" si="4"/>
        <v>-187.40408060979331</v>
      </c>
    </row>
    <row r="36" spans="1:4" x14ac:dyDescent="0.3">
      <c r="A36" s="14">
        <v>25</v>
      </c>
      <c r="B36" s="24">
        <f t="shared" si="2"/>
        <v>195789.89473343128</v>
      </c>
      <c r="C36" s="24">
        <f t="shared" si="3"/>
        <v>-1142.1077192783491</v>
      </c>
      <c r="D36" s="24">
        <f t="shared" si="4"/>
        <v>-188.49727108001716</v>
      </c>
    </row>
    <row r="37" spans="1:4" x14ac:dyDescent="0.3">
      <c r="A37" s="14">
        <v>26</v>
      </c>
      <c r="B37" s="24">
        <f t="shared" si="2"/>
        <v>195601.39746235128</v>
      </c>
      <c r="C37" s="24">
        <f t="shared" si="3"/>
        <v>-1141.0081518637157</v>
      </c>
      <c r="D37" s="24">
        <f t="shared" si="4"/>
        <v>-189.59683849465057</v>
      </c>
    </row>
    <row r="38" spans="1:4" x14ac:dyDescent="0.3">
      <c r="A38" s="14">
        <v>27</v>
      </c>
      <c r="B38" s="24">
        <f t="shared" si="2"/>
        <v>195411.80062385663</v>
      </c>
      <c r="C38" s="24">
        <f t="shared" si="3"/>
        <v>-1139.9021703058304</v>
      </c>
      <c r="D38" s="24">
        <f t="shared" si="4"/>
        <v>-190.70282005253605</v>
      </c>
    </row>
    <row r="39" spans="1:4" x14ac:dyDescent="0.3">
      <c r="A39" s="14">
        <v>28</v>
      </c>
      <c r="B39" s="24">
        <f t="shared" si="2"/>
        <v>195221.09780380409</v>
      </c>
      <c r="C39" s="24">
        <f t="shared" si="3"/>
        <v>-1138.7897371888571</v>
      </c>
      <c r="D39" s="24">
        <f t="shared" si="4"/>
        <v>-191.81525316950913</v>
      </c>
    </row>
    <row r="40" spans="1:4" x14ac:dyDescent="0.3">
      <c r="A40" s="14">
        <v>29</v>
      </c>
      <c r="B40" s="24">
        <f t="shared" si="2"/>
        <v>195029.28255063458</v>
      </c>
      <c r="C40" s="24">
        <f t="shared" si="3"/>
        <v>-1137.6708148787018</v>
      </c>
      <c r="D40" s="24">
        <f t="shared" si="4"/>
        <v>-192.93417547966462</v>
      </c>
    </row>
    <row r="41" spans="1:4" x14ac:dyDescent="0.3">
      <c r="A41" s="14">
        <v>30</v>
      </c>
      <c r="B41" s="24">
        <f t="shared" si="2"/>
        <v>194836.34837515492</v>
      </c>
      <c r="C41" s="24">
        <f t="shared" si="3"/>
        <v>-1136.545365521737</v>
      </c>
      <c r="D41" s="24">
        <f t="shared" si="4"/>
        <v>-194.0596248366293</v>
      </c>
    </row>
    <row r="42" spans="1:4" x14ac:dyDescent="0.3">
      <c r="A42" s="14">
        <v>31</v>
      </c>
      <c r="B42" s="24">
        <f t="shared" si="2"/>
        <v>194642.28875031829</v>
      </c>
      <c r="C42" s="24">
        <f t="shared" si="3"/>
        <v>-1135.4133510435233</v>
      </c>
      <c r="D42" s="24">
        <f t="shared" si="4"/>
        <v>-195.191639314843</v>
      </c>
    </row>
    <row r="43" spans="1:4" x14ac:dyDescent="0.3">
      <c r="A43" s="14">
        <v>32</v>
      </c>
      <c r="B43" s="24">
        <f t="shared" si="2"/>
        <v>194447.09711100344</v>
      </c>
      <c r="C43" s="24">
        <f t="shared" si="3"/>
        <v>-1134.2747331475202</v>
      </c>
      <c r="D43" s="24">
        <f t="shared" si="4"/>
        <v>-196.33025721084624</v>
      </c>
    </row>
    <row r="44" spans="1:4" x14ac:dyDescent="0.3">
      <c r="A44" s="14">
        <v>33</v>
      </c>
      <c r="B44" s="24">
        <f t="shared" si="2"/>
        <v>194250.76685379259</v>
      </c>
      <c r="C44" s="24">
        <f t="shared" si="3"/>
        <v>-1133.1294733137902</v>
      </c>
      <c r="D44" s="24">
        <f t="shared" si="4"/>
        <v>-197.47551704457621</v>
      </c>
    </row>
    <row r="45" spans="1:4" x14ac:dyDescent="0.3">
      <c r="A45" s="14">
        <v>34</v>
      </c>
      <c r="B45" s="24">
        <f t="shared" si="2"/>
        <v>194053.29133674802</v>
      </c>
      <c r="C45" s="24">
        <f t="shared" si="3"/>
        <v>-1131.9775327976968</v>
      </c>
      <c r="D45" s="24">
        <f t="shared" si="4"/>
        <v>-198.62745756066954</v>
      </c>
    </row>
    <row r="46" spans="1:4" x14ac:dyDescent="0.3">
      <c r="A46" s="14">
        <v>35</v>
      </c>
      <c r="B46" s="24">
        <f t="shared" si="2"/>
        <v>193854.66387918734</v>
      </c>
      <c r="C46" s="24">
        <f t="shared" si="3"/>
        <v>-1130.818872628593</v>
      </c>
      <c r="D46" s="24">
        <f t="shared" si="4"/>
        <v>-199.78611772977342</v>
      </c>
    </row>
    <row r="47" spans="1:4" x14ac:dyDescent="0.3">
      <c r="A47" s="14">
        <v>36</v>
      </c>
      <c r="B47" s="24">
        <f t="shared" si="2"/>
        <v>193654.87776145758</v>
      </c>
      <c r="C47" s="24">
        <f t="shared" si="3"/>
        <v>-1129.6534536085023</v>
      </c>
      <c r="D47" s="24">
        <f t="shared" si="4"/>
        <v>-200.95153674986383</v>
      </c>
    </row>
    <row r="48" spans="1:4" x14ac:dyDescent="0.3">
      <c r="A48" s="14">
        <v>37</v>
      </c>
      <c r="B48" s="24">
        <f t="shared" si="2"/>
        <v>193453.92622470771</v>
      </c>
      <c r="C48" s="24">
        <f t="shared" si="3"/>
        <v>-1128.4812363107951</v>
      </c>
      <c r="D48" s="24">
        <f t="shared" si="4"/>
        <v>-202.12375404757131</v>
      </c>
    </row>
    <row r="49" spans="1:4" x14ac:dyDescent="0.3">
      <c r="A49" s="14">
        <v>38</v>
      </c>
      <c r="B49" s="24">
        <f t="shared" si="2"/>
        <v>193251.80247066013</v>
      </c>
      <c r="C49" s="24">
        <f t="shared" si="3"/>
        <v>-1127.3021810788507</v>
      </c>
      <c r="D49" s="24">
        <f t="shared" si="4"/>
        <v>-203.30280927951551</v>
      </c>
    </row>
    <row r="50" spans="1:4" x14ac:dyDescent="0.3">
      <c r="A50" s="14">
        <v>39</v>
      </c>
      <c r="B50" s="24">
        <f t="shared" si="2"/>
        <v>193048.4996613806</v>
      </c>
      <c r="C50" s="24">
        <f t="shared" si="3"/>
        <v>-1126.1162480247201</v>
      </c>
      <c r="D50" s="24">
        <f t="shared" si="4"/>
        <v>-204.48874233364606</v>
      </c>
    </row>
    <row r="51" spans="1:4" x14ac:dyDescent="0.3">
      <c r="A51" s="14">
        <v>40</v>
      </c>
      <c r="B51" s="24">
        <f t="shared" si="2"/>
        <v>192844.01091904697</v>
      </c>
      <c r="C51" s="24">
        <f t="shared" si="3"/>
        <v>-1124.9233970277739</v>
      </c>
      <c r="D51" s="24">
        <f t="shared" si="4"/>
        <v>-205.68159333059228</v>
      </c>
    </row>
    <row r="52" spans="1:4" x14ac:dyDescent="0.3">
      <c r="A52" s="14">
        <v>41</v>
      </c>
      <c r="B52" s="24">
        <f t="shared" si="2"/>
        <v>192638.32932571636</v>
      </c>
      <c r="C52" s="24">
        <f t="shared" si="3"/>
        <v>-1123.7235877333458</v>
      </c>
      <c r="D52" s="24">
        <f t="shared" si="4"/>
        <v>-206.88140262502074</v>
      </c>
    </row>
    <row r="53" spans="1:4" x14ac:dyDescent="0.3">
      <c r="A53" s="14">
        <v>42</v>
      </c>
      <c r="B53" s="24">
        <f t="shared" si="2"/>
        <v>192431.44792309133</v>
      </c>
      <c r="C53" s="24">
        <f t="shared" si="3"/>
        <v>-1122.5167795513662</v>
      </c>
      <c r="D53" s="24">
        <f t="shared" si="4"/>
        <v>-208.08821080700002</v>
      </c>
    </row>
    <row r="54" spans="1:4" x14ac:dyDescent="0.3">
      <c r="A54" s="14">
        <v>43</v>
      </c>
      <c r="B54" s="24">
        <f t="shared" si="2"/>
        <v>192223.35971228432</v>
      </c>
      <c r="C54" s="24">
        <f t="shared" si="3"/>
        <v>-1121.3029316549921</v>
      </c>
      <c r="D54" s="24">
        <f t="shared" si="4"/>
        <v>-209.30205870337417</v>
      </c>
    </row>
    <row r="55" spans="1:4" x14ac:dyDescent="0.3">
      <c r="A55" s="14">
        <v>44</v>
      </c>
      <c r="B55" s="24">
        <f t="shared" si="2"/>
        <v>192014.05765358094</v>
      </c>
      <c r="C55" s="24">
        <f t="shared" si="3"/>
        <v>-1120.0820029792226</v>
      </c>
      <c r="D55" s="24">
        <f t="shared" si="4"/>
        <v>-210.5229873791439</v>
      </c>
    </row>
    <row r="56" spans="1:4" x14ac:dyDescent="0.3">
      <c r="A56" s="14">
        <v>45</v>
      </c>
      <c r="B56" s="24">
        <f t="shared" si="2"/>
        <v>191803.5346662018</v>
      </c>
      <c r="C56" s="24">
        <f t="shared" si="3"/>
        <v>-1118.8539522195108</v>
      </c>
      <c r="D56" s="24">
        <f t="shared" si="4"/>
        <v>-211.75103813885556</v>
      </c>
    </row>
    <row r="57" spans="1:4" x14ac:dyDescent="0.3">
      <c r="A57" s="14">
        <v>46</v>
      </c>
      <c r="B57" s="24">
        <f t="shared" si="2"/>
        <v>191591.78362806296</v>
      </c>
      <c r="C57" s="24">
        <f t="shared" si="3"/>
        <v>-1117.6187378303675</v>
      </c>
      <c r="D57" s="24">
        <f t="shared" si="4"/>
        <v>-212.98625252799889</v>
      </c>
    </row>
    <row r="58" spans="1:4" x14ac:dyDescent="0.3">
      <c r="A58" s="14">
        <v>47</v>
      </c>
      <c r="B58" s="24">
        <f t="shared" si="2"/>
        <v>191378.79737553495</v>
      </c>
      <c r="C58" s="24">
        <f t="shared" si="3"/>
        <v>-1116.3763180239544</v>
      </c>
      <c r="D58" s="24">
        <f t="shared" si="4"/>
        <v>-214.22867233441215</v>
      </c>
    </row>
    <row r="59" spans="1:4" x14ac:dyDescent="0.3">
      <c r="A59" s="14">
        <v>48</v>
      </c>
      <c r="B59" s="24">
        <f t="shared" si="2"/>
        <v>191164.56870320055</v>
      </c>
      <c r="C59" s="24">
        <f t="shared" si="3"/>
        <v>-1115.1266507686701</v>
      </c>
      <c r="D59" s="24">
        <f t="shared" si="4"/>
        <v>-215.47833958969628</v>
      </c>
    </row>
    <row r="60" spans="1:4" x14ac:dyDescent="0.3">
      <c r="A60" s="14">
        <v>49</v>
      </c>
      <c r="B60" s="24">
        <f t="shared" si="2"/>
        <v>190949.09036361086</v>
      </c>
      <c r="C60" s="24">
        <f t="shared" si="3"/>
        <v>-1113.8696937877303</v>
      </c>
      <c r="D60" s="24">
        <f t="shared" si="4"/>
        <v>-216.73529657063619</v>
      </c>
    </row>
    <row r="61" spans="1:4" x14ac:dyDescent="0.3">
      <c r="A61" s="14">
        <v>50</v>
      </c>
      <c r="B61" s="24">
        <f t="shared" si="2"/>
        <v>190732.35506704022</v>
      </c>
      <c r="C61" s="24">
        <f t="shared" si="3"/>
        <v>-1112.6054045577348</v>
      </c>
      <c r="D61" s="24">
        <f t="shared" si="4"/>
        <v>-217.99958580063154</v>
      </c>
    </row>
    <row r="62" spans="1:4" x14ac:dyDescent="0.3">
      <c r="A62" s="14">
        <v>51</v>
      </c>
      <c r="B62" s="24">
        <f t="shared" si="2"/>
        <v>190514.35548123959</v>
      </c>
      <c r="C62" s="24">
        <f t="shared" si="3"/>
        <v>-1111.3337403072312</v>
      </c>
      <c r="D62" s="24">
        <f t="shared" si="4"/>
        <v>-219.27125005113524</v>
      </c>
    </row>
    <row r="63" spans="1:4" x14ac:dyDescent="0.3">
      <c r="A63" s="14">
        <v>52</v>
      </c>
      <c r="B63" s="24">
        <f t="shared" si="2"/>
        <v>190295.08423118846</v>
      </c>
      <c r="C63" s="24">
        <f t="shared" si="3"/>
        <v>-1110.0546580152663</v>
      </c>
      <c r="D63" s="24">
        <f t="shared" si="4"/>
        <v>-220.55033234310019</v>
      </c>
    </row>
    <row r="64" spans="1:4" x14ac:dyDescent="0.3">
      <c r="A64" s="14">
        <v>53</v>
      </c>
      <c r="B64" s="24">
        <f t="shared" si="2"/>
        <v>190074.53389884537</v>
      </c>
      <c r="C64" s="24">
        <f t="shared" si="3"/>
        <v>-1108.7681144099315</v>
      </c>
      <c r="D64" s="24">
        <f t="shared" si="4"/>
        <v>-221.83687594843497</v>
      </c>
    </row>
    <row r="65" spans="1:4" x14ac:dyDescent="0.3">
      <c r="A65" s="14">
        <v>54</v>
      </c>
      <c r="B65" s="24">
        <f t="shared" si="2"/>
        <v>189852.69702289693</v>
      </c>
      <c r="C65" s="24">
        <f t="shared" si="3"/>
        <v>-1107.4740659668989</v>
      </c>
      <c r="D65" s="24">
        <f t="shared" si="4"/>
        <v>-223.13092439146752</v>
      </c>
    </row>
    <row r="66" spans="1:4" x14ac:dyDescent="0.3">
      <c r="A66" s="14">
        <v>55</v>
      </c>
      <c r="B66" s="24">
        <f t="shared" si="2"/>
        <v>189629.56609850546</v>
      </c>
      <c r="C66" s="24">
        <f t="shared" si="3"/>
        <v>-1106.1724689079488</v>
      </c>
      <c r="D66" s="24">
        <f t="shared" si="4"/>
        <v>-224.43252145041768</v>
      </c>
    </row>
    <row r="67" spans="1:4" x14ac:dyDescent="0.3">
      <c r="A67" s="14">
        <v>56</v>
      </c>
      <c r="B67" s="24">
        <f t="shared" si="2"/>
        <v>189405.13357705504</v>
      </c>
      <c r="C67" s="24">
        <f t="shared" si="3"/>
        <v>-1104.863279199488</v>
      </c>
      <c r="D67" s="24">
        <f t="shared" si="4"/>
        <v>-225.74171115887847</v>
      </c>
    </row>
    <row r="68" spans="1:4" x14ac:dyDescent="0.3">
      <c r="A68" s="14">
        <v>57</v>
      </c>
      <c r="B68" s="24">
        <f t="shared" si="2"/>
        <v>189179.39186589615</v>
      </c>
      <c r="C68" s="24">
        <f t="shared" si="3"/>
        <v>-1103.5464525510611</v>
      </c>
      <c r="D68" s="24">
        <f t="shared" si="4"/>
        <v>-227.0585378073053</v>
      </c>
    </row>
    <row r="69" spans="1:4" x14ac:dyDescent="0.3">
      <c r="A69" s="14">
        <v>58</v>
      </c>
      <c r="B69" s="24">
        <f t="shared" si="2"/>
        <v>188952.33332808883</v>
      </c>
      <c r="C69" s="24">
        <f t="shared" si="3"/>
        <v>-1102.2219444138518</v>
      </c>
      <c r="D69" s="24">
        <f t="shared" si="4"/>
        <v>-228.38304594451452</v>
      </c>
    </row>
    <row r="70" spans="1:4" x14ac:dyDescent="0.3">
      <c r="A70" s="14">
        <v>59</v>
      </c>
      <c r="B70" s="24">
        <f t="shared" si="2"/>
        <v>188723.95028214433</v>
      </c>
      <c r="C70" s="24">
        <f t="shared" si="3"/>
        <v>-1100.8897099791754</v>
      </c>
      <c r="D70" s="24">
        <f t="shared" si="4"/>
        <v>-229.71528037919086</v>
      </c>
    </row>
    <row r="71" spans="1:4" x14ac:dyDescent="0.3">
      <c r="A71" s="14">
        <v>60</v>
      </c>
      <c r="B71" s="24">
        <f t="shared" si="2"/>
        <v>188494.23500176513</v>
      </c>
      <c r="C71" s="24">
        <f t="shared" si="3"/>
        <v>-1099.5497041769636</v>
      </c>
      <c r="D71" s="24">
        <f t="shared" si="4"/>
        <v>-231.05528618140281</v>
      </c>
    </row>
    <row r="72" spans="1:4" x14ac:dyDescent="0.3">
      <c r="A72" s="14">
        <v>61</v>
      </c>
      <c r="B72" s="24">
        <f t="shared" si="2"/>
        <v>188263.17971558374</v>
      </c>
      <c r="C72" s="24">
        <f t="shared" si="3"/>
        <v>-1098.2018816742386</v>
      </c>
      <c r="D72" s="24">
        <f t="shared" si="4"/>
        <v>-232.40310868412769</v>
      </c>
    </row>
    <row r="73" spans="1:4" x14ac:dyDescent="0.3">
      <c r="A73" s="14">
        <v>62</v>
      </c>
      <c r="B73" s="24">
        <f t="shared" si="2"/>
        <v>188030.77660689963</v>
      </c>
      <c r="C73" s="24">
        <f t="shared" si="3"/>
        <v>-1096.8461968735812</v>
      </c>
      <c r="D73" s="24">
        <f t="shared" si="4"/>
        <v>-233.75879348478509</v>
      </c>
    </row>
    <row r="74" spans="1:4" x14ac:dyDescent="0.3">
      <c r="A74" s="14">
        <v>63</v>
      </c>
      <c r="B74" s="24">
        <f t="shared" si="2"/>
        <v>187797.01781341483</v>
      </c>
      <c r="C74" s="24">
        <f t="shared" si="3"/>
        <v>-1095.4826039115867</v>
      </c>
      <c r="D74" s="24">
        <f t="shared" si="4"/>
        <v>-235.12238644677961</v>
      </c>
    </row>
    <row r="75" spans="1:4" x14ac:dyDescent="0.3">
      <c r="A75" s="14">
        <v>64</v>
      </c>
      <c r="B75" s="24">
        <f t="shared" si="2"/>
        <v>187561.89542696805</v>
      </c>
      <c r="C75" s="24">
        <f t="shared" si="3"/>
        <v>-1094.1110566573138</v>
      </c>
      <c r="D75" s="24">
        <f t="shared" si="4"/>
        <v>-236.49393370105253</v>
      </c>
    </row>
    <row r="76" spans="1:4" x14ac:dyDescent="0.3">
      <c r="A76" s="14">
        <v>65</v>
      </c>
      <c r="B76" s="24">
        <f t="shared" si="2"/>
        <v>187325.40149326701</v>
      </c>
      <c r="C76" s="24">
        <f t="shared" si="3"/>
        <v>-1092.7315087107243</v>
      </c>
      <c r="D76" s="24">
        <f t="shared" si="4"/>
        <v>-237.87348164764202</v>
      </c>
    </row>
    <row r="77" spans="1:4" x14ac:dyDescent="0.3">
      <c r="A77" s="14">
        <v>66</v>
      </c>
      <c r="B77" s="24">
        <f t="shared" si="2"/>
        <v>187087.52801161938</v>
      </c>
      <c r="C77" s="24">
        <f t="shared" si="3"/>
        <v>-1091.343913401113</v>
      </c>
      <c r="D77" s="24">
        <f t="shared" si="4"/>
        <v>-239.26107695725327</v>
      </c>
    </row>
    <row r="78" spans="1:4" x14ac:dyDescent="0.3">
      <c r="A78" s="14">
        <v>67</v>
      </c>
      <c r="B78" s="24">
        <f t="shared" ref="B78:B141" si="5">IFERROR(B77+D77,0)</f>
        <v>186848.26693466213</v>
      </c>
      <c r="C78" s="24">
        <f t="shared" ref="C78:C141" si="6">IFERROR(IPMT(B$4/B$6,A78,B$5*B$6,B$3,B$7,0),0)</f>
        <v>-1089.9482237855291</v>
      </c>
      <c r="D78" s="24">
        <f t="shared" ref="D78:D141" si="7">IFERROR(PPMT(B$4/B$6,A78,B$5*B$6,B$3,B$7,0),0)</f>
        <v>-240.65676657283723</v>
      </c>
    </row>
    <row r="79" spans="1:4" x14ac:dyDescent="0.3">
      <c r="A79" s="14">
        <v>68</v>
      </c>
      <c r="B79" s="24">
        <f t="shared" si="5"/>
        <v>186607.61016808928</v>
      </c>
      <c r="C79" s="24">
        <f t="shared" si="6"/>
        <v>-1088.5443926471876</v>
      </c>
      <c r="D79" s="24">
        <f t="shared" si="7"/>
        <v>-242.06059771117879</v>
      </c>
    </row>
    <row r="80" spans="1:4" x14ac:dyDescent="0.3">
      <c r="A80" s="14">
        <v>69</v>
      </c>
      <c r="B80" s="24">
        <f t="shared" si="5"/>
        <v>186365.54957037809</v>
      </c>
      <c r="C80" s="24">
        <f t="shared" si="6"/>
        <v>-1087.1323724938725</v>
      </c>
      <c r="D80" s="24">
        <f t="shared" si="7"/>
        <v>-243.47261786449403</v>
      </c>
    </row>
    <row r="81" spans="1:4" x14ac:dyDescent="0.3">
      <c r="A81" s="14">
        <v>70</v>
      </c>
      <c r="B81" s="24">
        <f t="shared" si="5"/>
        <v>186122.0769525136</v>
      </c>
      <c r="C81" s="24">
        <f t="shared" si="6"/>
        <v>-1085.7121155563295</v>
      </c>
      <c r="D81" s="24">
        <f t="shared" si="7"/>
        <v>-244.89287480203689</v>
      </c>
    </row>
    <row r="82" spans="1:4" x14ac:dyDescent="0.3">
      <c r="A82" s="14">
        <v>71</v>
      </c>
      <c r="B82" s="24">
        <f t="shared" si="5"/>
        <v>185877.18407771157</v>
      </c>
      <c r="C82" s="24">
        <f t="shared" si="6"/>
        <v>-1084.2835737866508</v>
      </c>
      <c r="D82" s="24">
        <f t="shared" si="7"/>
        <v>-246.32141657171542</v>
      </c>
    </row>
    <row r="83" spans="1:4" x14ac:dyDescent="0.3">
      <c r="A83" s="14">
        <v>72</v>
      </c>
      <c r="B83" s="24">
        <f t="shared" si="5"/>
        <v>185630.86266113986</v>
      </c>
      <c r="C83" s="24">
        <f t="shared" si="6"/>
        <v>-1082.8466988566493</v>
      </c>
      <c r="D83" s="24">
        <f t="shared" si="7"/>
        <v>-247.75829150171708</v>
      </c>
    </row>
    <row r="84" spans="1:4" x14ac:dyDescent="0.3">
      <c r="A84" s="14">
        <v>73</v>
      </c>
      <c r="B84" s="24">
        <f t="shared" si="5"/>
        <v>185383.10436963814</v>
      </c>
      <c r="C84" s="24">
        <f t="shared" si="6"/>
        <v>-1081.4014421562226</v>
      </c>
      <c r="D84" s="24">
        <f t="shared" si="7"/>
        <v>-249.20354820214379</v>
      </c>
    </row>
    <row r="85" spans="1:4" x14ac:dyDescent="0.3">
      <c r="A85" s="14">
        <v>74</v>
      </c>
      <c r="B85" s="24">
        <f t="shared" si="5"/>
        <v>185133.90082143599</v>
      </c>
      <c r="C85" s="24">
        <f t="shared" si="6"/>
        <v>-1079.9477547917099</v>
      </c>
      <c r="D85" s="24">
        <f t="shared" si="7"/>
        <v>-250.65723556665631</v>
      </c>
    </row>
    <row r="86" spans="1:4" x14ac:dyDescent="0.3">
      <c r="A86" s="14">
        <v>75</v>
      </c>
      <c r="B86" s="24">
        <f t="shared" si="5"/>
        <v>184883.24358586935</v>
      </c>
      <c r="C86" s="24">
        <f t="shared" si="6"/>
        <v>-1078.4855875842379</v>
      </c>
      <c r="D86" s="24">
        <f t="shared" si="7"/>
        <v>-252.11940277412847</v>
      </c>
    </row>
    <row r="87" spans="1:4" x14ac:dyDescent="0.3">
      <c r="A87" s="14">
        <v>76</v>
      </c>
      <c r="B87" s="24">
        <f t="shared" si="5"/>
        <v>184631.12418309523</v>
      </c>
      <c r="C87" s="24">
        <f t="shared" si="6"/>
        <v>-1077.0148910680555</v>
      </c>
      <c r="D87" s="24">
        <f t="shared" si="7"/>
        <v>-253.59009929031089</v>
      </c>
    </row>
    <row r="88" spans="1:4" x14ac:dyDescent="0.3">
      <c r="A88" s="14">
        <v>77</v>
      </c>
      <c r="B88" s="24">
        <f t="shared" si="5"/>
        <v>184377.53408380493</v>
      </c>
      <c r="C88" s="24">
        <f t="shared" si="6"/>
        <v>-1075.535615488862</v>
      </c>
      <c r="D88" s="24">
        <f t="shared" si="7"/>
        <v>-255.06937486950434</v>
      </c>
    </row>
    <row r="89" spans="1:4" x14ac:dyDescent="0.3">
      <c r="A89" s="14">
        <v>78</v>
      </c>
      <c r="B89" s="24">
        <f t="shared" si="5"/>
        <v>184122.46470893544</v>
      </c>
      <c r="C89" s="24">
        <f t="shared" si="6"/>
        <v>-1074.0477108021232</v>
      </c>
      <c r="D89" s="24">
        <f t="shared" si="7"/>
        <v>-256.55727955624309</v>
      </c>
    </row>
    <row r="90" spans="1:4" x14ac:dyDescent="0.3">
      <c r="A90" s="14">
        <v>79</v>
      </c>
      <c r="B90" s="24">
        <f t="shared" si="5"/>
        <v>183865.90742937921</v>
      </c>
      <c r="C90" s="24">
        <f t="shared" si="6"/>
        <v>-1072.5511266713784</v>
      </c>
      <c r="D90" s="24">
        <f t="shared" si="7"/>
        <v>-258.05386368698788</v>
      </c>
    </row>
    <row r="91" spans="1:4" x14ac:dyDescent="0.3">
      <c r="A91" s="14">
        <v>80</v>
      </c>
      <c r="B91" s="24">
        <f t="shared" si="5"/>
        <v>183607.85356569223</v>
      </c>
      <c r="C91" s="24">
        <f t="shared" si="6"/>
        <v>-1071.0458124665377</v>
      </c>
      <c r="D91" s="24">
        <f t="shared" si="7"/>
        <v>-259.55917789182865</v>
      </c>
    </row>
    <row r="92" spans="1:4" x14ac:dyDescent="0.3">
      <c r="A92" s="14">
        <v>81</v>
      </c>
      <c r="B92" s="24">
        <f t="shared" si="5"/>
        <v>183348.29438780042</v>
      </c>
      <c r="C92" s="24">
        <f t="shared" si="6"/>
        <v>-1069.5317172621687</v>
      </c>
      <c r="D92" s="24">
        <f t="shared" si="7"/>
        <v>-261.07327309619762</v>
      </c>
    </row>
    <row r="93" spans="1:4" x14ac:dyDescent="0.3">
      <c r="A93" s="14">
        <v>82</v>
      </c>
      <c r="B93" s="24">
        <f t="shared" si="5"/>
        <v>183087.22111470421</v>
      </c>
      <c r="C93" s="24">
        <f t="shared" si="6"/>
        <v>-1068.0087898357742</v>
      </c>
      <c r="D93" s="24">
        <f t="shared" si="7"/>
        <v>-262.59620052259214</v>
      </c>
    </row>
    <row r="94" spans="1:4" x14ac:dyDescent="0.3">
      <c r="A94" s="14">
        <v>83</v>
      </c>
      <c r="B94" s="24">
        <f t="shared" si="5"/>
        <v>182824.62491418162</v>
      </c>
      <c r="C94" s="24">
        <f t="shared" si="6"/>
        <v>-1066.4769786660593</v>
      </c>
      <c r="D94" s="24">
        <f t="shared" si="7"/>
        <v>-264.12801169230733</v>
      </c>
    </row>
    <row r="95" spans="1:4" x14ac:dyDescent="0.3">
      <c r="A95" s="14">
        <v>84</v>
      </c>
      <c r="B95" s="24">
        <f t="shared" si="5"/>
        <v>182560.49690248931</v>
      </c>
      <c r="C95" s="24">
        <f t="shared" si="6"/>
        <v>-1064.9362319311874</v>
      </c>
      <c r="D95" s="24">
        <f t="shared" si="7"/>
        <v>-265.66875842717906</v>
      </c>
    </row>
    <row r="96" spans="1:4" x14ac:dyDescent="0.3">
      <c r="A96" s="14">
        <v>85</v>
      </c>
      <c r="B96" s="24">
        <f t="shared" si="5"/>
        <v>182294.82814406214</v>
      </c>
      <c r="C96" s="24">
        <f t="shared" si="6"/>
        <v>-1063.3864975070289</v>
      </c>
      <c r="D96" s="24">
        <f t="shared" si="7"/>
        <v>-267.2184928513376</v>
      </c>
    </row>
    <row r="97" spans="1:4" x14ac:dyDescent="0.3">
      <c r="A97" s="14">
        <v>86</v>
      </c>
      <c r="B97" s="24">
        <f t="shared" si="5"/>
        <v>182027.60965121081</v>
      </c>
      <c r="C97" s="24">
        <f t="shared" si="6"/>
        <v>-1061.8277229653959</v>
      </c>
      <c r="D97" s="24">
        <f t="shared" si="7"/>
        <v>-268.77726739297037</v>
      </c>
    </row>
    <row r="98" spans="1:4" x14ac:dyDescent="0.3">
      <c r="A98" s="14">
        <v>87</v>
      </c>
      <c r="B98" s="24">
        <f t="shared" si="5"/>
        <v>181758.83238381785</v>
      </c>
      <c r="C98" s="24">
        <f t="shared" si="6"/>
        <v>-1060.2598555722702</v>
      </c>
      <c r="D98" s="24">
        <f t="shared" si="7"/>
        <v>-270.34513478609603</v>
      </c>
    </row>
    <row r="99" spans="1:4" x14ac:dyDescent="0.3">
      <c r="A99" s="14">
        <v>88</v>
      </c>
      <c r="B99" s="24">
        <f t="shared" si="5"/>
        <v>181488.48724903175</v>
      </c>
      <c r="C99" s="24">
        <f t="shared" si="6"/>
        <v>-1058.6828422860181</v>
      </c>
      <c r="D99" s="24">
        <f t="shared" si="7"/>
        <v>-271.92214807234831</v>
      </c>
    </row>
    <row r="100" spans="1:4" x14ac:dyDescent="0.3">
      <c r="A100" s="14">
        <v>89</v>
      </c>
      <c r="B100" s="24">
        <f t="shared" si="5"/>
        <v>181216.56510095941</v>
      </c>
      <c r="C100" s="24">
        <f t="shared" si="6"/>
        <v>-1057.096629755596</v>
      </c>
      <c r="D100" s="24">
        <f t="shared" si="7"/>
        <v>-273.50836060277032</v>
      </c>
    </row>
    <row r="101" spans="1:4" x14ac:dyDescent="0.3">
      <c r="A101" s="14">
        <v>90</v>
      </c>
      <c r="B101" s="24">
        <f t="shared" si="5"/>
        <v>180943.05674035664</v>
      </c>
      <c r="C101" s="24">
        <f t="shared" si="6"/>
        <v>-1055.5011643187465</v>
      </c>
      <c r="D101" s="24">
        <f t="shared" si="7"/>
        <v>-275.10382603961983</v>
      </c>
    </row>
    <row r="102" spans="1:4" x14ac:dyDescent="0.3">
      <c r="A102" s="14">
        <v>91</v>
      </c>
      <c r="B102" s="24">
        <f t="shared" si="5"/>
        <v>180667.95291431702</v>
      </c>
      <c r="C102" s="24">
        <f t="shared" si="6"/>
        <v>-1053.8963920001822</v>
      </c>
      <c r="D102" s="24">
        <f t="shared" si="7"/>
        <v>-276.70859835818425</v>
      </c>
    </row>
    <row r="103" spans="1:4" x14ac:dyDescent="0.3">
      <c r="A103" s="14">
        <v>92</v>
      </c>
      <c r="B103" s="24">
        <f t="shared" si="5"/>
        <v>180391.24431595884</v>
      </c>
      <c r="C103" s="24">
        <f t="shared" si="6"/>
        <v>-1052.2822585097595</v>
      </c>
      <c r="D103" s="24">
        <f t="shared" si="7"/>
        <v>-278.32273184860702</v>
      </c>
    </row>
    <row r="104" spans="1:4" x14ac:dyDescent="0.3">
      <c r="A104" s="14">
        <v>93</v>
      </c>
      <c r="B104" s="24">
        <f t="shared" si="5"/>
        <v>180112.92158411024</v>
      </c>
      <c r="C104" s="24">
        <f t="shared" si="6"/>
        <v>-1050.6587092406423</v>
      </c>
      <c r="D104" s="24">
        <f t="shared" si="7"/>
        <v>-279.94628111772391</v>
      </c>
    </row>
    <row r="105" spans="1:4" x14ac:dyDescent="0.3">
      <c r="A105" s="14">
        <v>94</v>
      </c>
      <c r="B105" s="24">
        <f t="shared" si="5"/>
        <v>179832.97530299251</v>
      </c>
      <c r="C105" s="24">
        <f t="shared" si="6"/>
        <v>-1049.0256892674558</v>
      </c>
      <c r="D105" s="24">
        <f t="shared" si="7"/>
        <v>-281.57930109091058</v>
      </c>
    </row>
    <row r="106" spans="1:4" x14ac:dyDescent="0.3">
      <c r="A106" s="14">
        <v>95</v>
      </c>
      <c r="B106" s="24">
        <f t="shared" si="5"/>
        <v>179551.39600190159</v>
      </c>
      <c r="C106" s="24">
        <f t="shared" si="6"/>
        <v>-1047.3831433444254</v>
      </c>
      <c r="D106" s="24">
        <f t="shared" si="7"/>
        <v>-283.22184701394093</v>
      </c>
    </row>
    <row r="107" spans="1:4" x14ac:dyDescent="0.3">
      <c r="A107" s="14">
        <v>96</v>
      </c>
      <c r="B107" s="24">
        <f t="shared" si="5"/>
        <v>179268.17415488765</v>
      </c>
      <c r="C107" s="24">
        <f t="shared" si="6"/>
        <v>-1045.731015903511</v>
      </c>
      <c r="D107" s="24">
        <f t="shared" si="7"/>
        <v>-284.8739744548555</v>
      </c>
    </row>
    <row r="108" spans="1:4" x14ac:dyDescent="0.3">
      <c r="A108" s="14">
        <v>97</v>
      </c>
      <c r="B108" s="24">
        <f t="shared" si="5"/>
        <v>178983.30018043279</v>
      </c>
      <c r="C108" s="24">
        <f t="shared" si="6"/>
        <v>-1044.0692510525239</v>
      </c>
      <c r="D108" s="24">
        <f t="shared" si="7"/>
        <v>-286.53573930584224</v>
      </c>
    </row>
    <row r="109" spans="1:4" x14ac:dyDescent="0.3">
      <c r="A109" s="14">
        <v>98</v>
      </c>
      <c r="B109" s="24">
        <f t="shared" si="5"/>
        <v>178696.76444112696</v>
      </c>
      <c r="C109" s="24">
        <f t="shared" si="6"/>
        <v>-1042.3977925732399</v>
      </c>
      <c r="D109" s="24">
        <f t="shared" si="7"/>
        <v>-288.20719778512631</v>
      </c>
    </row>
    <row r="110" spans="1:4" x14ac:dyDescent="0.3">
      <c r="A110" s="14">
        <v>99</v>
      </c>
      <c r="B110" s="24">
        <f t="shared" si="5"/>
        <v>178408.55724334184</v>
      </c>
      <c r="C110" s="24">
        <f t="shared" si="6"/>
        <v>-1040.7165839194934</v>
      </c>
      <c r="D110" s="24">
        <f t="shared" si="7"/>
        <v>-289.88840643887283</v>
      </c>
    </row>
    <row r="111" spans="1:4" x14ac:dyDescent="0.3">
      <c r="A111" s="14">
        <v>100</v>
      </c>
      <c r="B111" s="24">
        <f t="shared" si="5"/>
        <v>178118.66883690297</v>
      </c>
      <c r="C111" s="24">
        <f t="shared" si="6"/>
        <v>-1039.0255682152667</v>
      </c>
      <c r="D111" s="24">
        <f t="shared" si="7"/>
        <v>-291.57942214309963</v>
      </c>
    </row>
    <row r="112" spans="1:4" x14ac:dyDescent="0.3">
      <c r="A112" s="14">
        <v>101</v>
      </c>
      <c r="B112" s="24">
        <f t="shared" si="5"/>
        <v>177827.08941475986</v>
      </c>
      <c r="C112" s="24">
        <f t="shared" si="6"/>
        <v>-1037.3246882527653</v>
      </c>
      <c r="D112" s="24">
        <f t="shared" si="7"/>
        <v>-293.28030210560104</v>
      </c>
    </row>
    <row r="113" spans="1:4" x14ac:dyDescent="0.3">
      <c r="A113" s="14">
        <v>102</v>
      </c>
      <c r="B113" s="24">
        <f t="shared" si="5"/>
        <v>177533.80911265427</v>
      </c>
      <c r="C113" s="24">
        <f t="shared" si="6"/>
        <v>-1035.6138864904826</v>
      </c>
      <c r="D113" s="24">
        <f t="shared" si="7"/>
        <v>-294.99110386788374</v>
      </c>
    </row>
    <row r="114" spans="1:4" x14ac:dyDescent="0.3">
      <c r="A114" s="14">
        <v>103</v>
      </c>
      <c r="B114" s="24">
        <f t="shared" si="5"/>
        <v>177238.81800878639</v>
      </c>
      <c r="C114" s="24">
        <f t="shared" si="6"/>
        <v>-1033.8931050512533</v>
      </c>
      <c r="D114" s="24">
        <f t="shared" si="7"/>
        <v>-296.71188530711305</v>
      </c>
    </row>
    <row r="115" spans="1:4" x14ac:dyDescent="0.3">
      <c r="A115" s="14">
        <v>104</v>
      </c>
      <c r="B115" s="24">
        <f t="shared" si="5"/>
        <v>176942.10612347929</v>
      </c>
      <c r="C115" s="24">
        <f t="shared" si="6"/>
        <v>-1032.1622857202951</v>
      </c>
      <c r="D115" s="24">
        <f t="shared" si="7"/>
        <v>-298.44270463807118</v>
      </c>
    </row>
    <row r="116" spans="1:4" x14ac:dyDescent="0.3">
      <c r="A116" s="14">
        <v>105</v>
      </c>
      <c r="B116" s="24">
        <f t="shared" si="5"/>
        <v>176643.66341884123</v>
      </c>
      <c r="C116" s="24">
        <f t="shared" si="6"/>
        <v>-1030.4213699432396</v>
      </c>
      <c r="D116" s="24">
        <f t="shared" si="7"/>
        <v>-300.1836204151266</v>
      </c>
    </row>
    <row r="117" spans="1:4" x14ac:dyDescent="0.3">
      <c r="A117" s="14">
        <v>106</v>
      </c>
      <c r="B117" s="24">
        <f t="shared" si="5"/>
        <v>176343.47979842609</v>
      </c>
      <c r="C117" s="24">
        <f t="shared" si="6"/>
        <v>-1028.6702988241514</v>
      </c>
      <c r="D117" s="24">
        <f t="shared" si="7"/>
        <v>-301.93469153421489</v>
      </c>
    </row>
    <row r="118" spans="1:4" x14ac:dyDescent="0.3">
      <c r="A118" s="14">
        <v>107</v>
      </c>
      <c r="B118" s="24">
        <f t="shared" si="5"/>
        <v>176041.54510689189</v>
      </c>
      <c r="C118" s="24">
        <f t="shared" si="6"/>
        <v>-1026.9090131235355</v>
      </c>
      <c r="D118" s="24">
        <f t="shared" si="7"/>
        <v>-303.69597723483105</v>
      </c>
    </row>
    <row r="119" spans="1:4" x14ac:dyDescent="0.3">
      <c r="A119" s="14">
        <v>108</v>
      </c>
      <c r="B119" s="24">
        <f t="shared" si="5"/>
        <v>175737.84912965706</v>
      </c>
      <c r="C119" s="24">
        <f t="shared" si="6"/>
        <v>-1025.1374532563323</v>
      </c>
      <c r="D119" s="24">
        <f t="shared" si="7"/>
        <v>-305.46753710203427</v>
      </c>
    </row>
    <row r="120" spans="1:4" x14ac:dyDescent="0.3">
      <c r="A120" s="14">
        <v>109</v>
      </c>
      <c r="B120" s="24">
        <f t="shared" si="5"/>
        <v>175432.38159255503</v>
      </c>
      <c r="C120" s="24">
        <f t="shared" si="6"/>
        <v>-1023.3555592899036</v>
      </c>
      <c r="D120" s="24">
        <f t="shared" si="7"/>
        <v>-307.2494310684628</v>
      </c>
    </row>
    <row r="121" spans="1:4" x14ac:dyDescent="0.3">
      <c r="A121" s="14">
        <v>110</v>
      </c>
      <c r="B121" s="24">
        <f t="shared" si="5"/>
        <v>175125.13216148657</v>
      </c>
      <c r="C121" s="24">
        <f t="shared" si="6"/>
        <v>-1021.5632709420042</v>
      </c>
      <c r="D121" s="24">
        <f t="shared" si="7"/>
        <v>-309.04171941636218</v>
      </c>
    </row>
    <row r="122" spans="1:4" x14ac:dyDescent="0.3">
      <c r="A122" s="14">
        <v>111</v>
      </c>
      <c r="B122" s="24">
        <f t="shared" si="5"/>
        <v>174816.09044207021</v>
      </c>
      <c r="C122" s="24">
        <f t="shared" si="6"/>
        <v>-1019.760527578742</v>
      </c>
      <c r="D122" s="24">
        <f t="shared" si="7"/>
        <v>-310.84446277962434</v>
      </c>
    </row>
    <row r="123" spans="1:4" x14ac:dyDescent="0.3">
      <c r="A123" s="14">
        <v>112</v>
      </c>
      <c r="B123" s="24">
        <f t="shared" si="5"/>
        <v>174505.2459792906</v>
      </c>
      <c r="C123" s="24">
        <f t="shared" si="6"/>
        <v>-1017.9472682125275</v>
      </c>
      <c r="D123" s="24">
        <f t="shared" si="7"/>
        <v>-312.65772214583876</v>
      </c>
    </row>
    <row r="124" spans="1:4" x14ac:dyDescent="0.3">
      <c r="A124" s="14">
        <v>113</v>
      </c>
      <c r="B124" s="24">
        <f t="shared" si="5"/>
        <v>174192.58825714476</v>
      </c>
      <c r="C124" s="24">
        <f t="shared" si="6"/>
        <v>-1016.1234315000103</v>
      </c>
      <c r="D124" s="24">
        <f t="shared" si="7"/>
        <v>-314.48155885835615</v>
      </c>
    </row>
    <row r="125" spans="1:4" x14ac:dyDescent="0.3">
      <c r="A125" s="14">
        <v>114</v>
      </c>
      <c r="B125" s="24">
        <f t="shared" si="5"/>
        <v>173878.1066982864</v>
      </c>
      <c r="C125" s="24">
        <f t="shared" si="6"/>
        <v>-1014.2889557400031</v>
      </c>
      <c r="D125" s="24">
        <f t="shared" si="7"/>
        <v>-316.31603461836329</v>
      </c>
    </row>
    <row r="126" spans="1:4" x14ac:dyDescent="0.3">
      <c r="A126" s="14">
        <v>115</v>
      </c>
      <c r="B126" s="24">
        <f t="shared" si="5"/>
        <v>173561.79066366804</v>
      </c>
      <c r="C126" s="24">
        <f t="shared" si="6"/>
        <v>-1012.4437788713959</v>
      </c>
      <c r="D126" s="24">
        <f t="shared" si="7"/>
        <v>-318.16121148697039</v>
      </c>
    </row>
    <row r="127" spans="1:4" x14ac:dyDescent="0.3">
      <c r="A127" s="14">
        <v>116</v>
      </c>
      <c r="B127" s="24">
        <f t="shared" si="5"/>
        <v>173243.62945218108</v>
      </c>
      <c r="C127" s="24">
        <f t="shared" si="6"/>
        <v>-1010.5878384710552</v>
      </c>
      <c r="D127" s="24">
        <f t="shared" si="7"/>
        <v>-320.01715188731106</v>
      </c>
    </row>
    <row r="128" spans="1:4" x14ac:dyDescent="0.3">
      <c r="A128" s="14">
        <v>117</v>
      </c>
      <c r="B128" s="24">
        <f t="shared" si="5"/>
        <v>172923.61230029375</v>
      </c>
      <c r="C128" s="24">
        <f t="shared" si="6"/>
        <v>-1008.7210717517128</v>
      </c>
      <c r="D128" s="24">
        <f t="shared" si="7"/>
        <v>-321.88391860665371</v>
      </c>
    </row>
    <row r="129" spans="1:4" x14ac:dyDescent="0.3">
      <c r="A129" s="14">
        <v>118</v>
      </c>
      <c r="B129" s="24">
        <f t="shared" si="5"/>
        <v>172601.72838168711</v>
      </c>
      <c r="C129" s="24">
        <f t="shared" si="6"/>
        <v>-1006.8434155598404</v>
      </c>
      <c r="D129" s="24">
        <f t="shared" si="7"/>
        <v>-323.76157479852583</v>
      </c>
    </row>
    <row r="130" spans="1:4" x14ac:dyDescent="0.3">
      <c r="A130" s="14">
        <v>119</v>
      </c>
      <c r="B130" s="24">
        <f t="shared" si="5"/>
        <v>172277.96680688858</v>
      </c>
      <c r="C130" s="24">
        <f t="shared" si="6"/>
        <v>-1004.9548063735158</v>
      </c>
      <c r="D130" s="24">
        <f t="shared" si="7"/>
        <v>-325.65018398485057</v>
      </c>
    </row>
    <row r="131" spans="1:4" x14ac:dyDescent="0.3">
      <c r="A131" s="14">
        <v>120</v>
      </c>
      <c r="B131" s="24">
        <f t="shared" si="5"/>
        <v>171952.31662290372</v>
      </c>
      <c r="C131" s="24">
        <f t="shared" si="6"/>
        <v>-1003.0551803002709</v>
      </c>
      <c r="D131" s="24">
        <f t="shared" si="7"/>
        <v>-327.54981005809549</v>
      </c>
    </row>
    <row r="132" spans="1:4" x14ac:dyDescent="0.3">
      <c r="A132" s="14">
        <v>121</v>
      </c>
      <c r="B132" s="24">
        <f t="shared" si="5"/>
        <v>171624.76681284563</v>
      </c>
      <c r="C132" s="24">
        <f t="shared" si="6"/>
        <v>-1001.1444730749319</v>
      </c>
      <c r="D132" s="24">
        <f t="shared" si="7"/>
        <v>-329.4605172834344</v>
      </c>
    </row>
    <row r="133" spans="1:4" x14ac:dyDescent="0.3">
      <c r="A133" s="14">
        <v>122</v>
      </c>
      <c r="B133" s="24">
        <f t="shared" si="5"/>
        <v>171295.30629556219</v>
      </c>
      <c r="C133" s="24">
        <f t="shared" si="6"/>
        <v>-999.22262005744528</v>
      </c>
      <c r="D133" s="24">
        <f t="shared" si="7"/>
        <v>-331.38237030092114</v>
      </c>
    </row>
    <row r="134" spans="1:4" x14ac:dyDescent="0.3">
      <c r="A134" s="14">
        <v>123</v>
      </c>
      <c r="B134" s="24">
        <f t="shared" si="5"/>
        <v>170963.92392526128</v>
      </c>
      <c r="C134" s="24">
        <f t="shared" si="6"/>
        <v>-997.28955623068975</v>
      </c>
      <c r="D134" s="24">
        <f t="shared" si="7"/>
        <v>-333.3154341276765</v>
      </c>
    </row>
    <row r="135" spans="1:4" x14ac:dyDescent="0.3">
      <c r="A135" s="14">
        <v>124</v>
      </c>
      <c r="B135" s="24">
        <f t="shared" si="5"/>
        <v>170630.60849113361</v>
      </c>
      <c r="C135" s="24">
        <f t="shared" si="6"/>
        <v>-995.34521619827842</v>
      </c>
      <c r="D135" s="24">
        <f t="shared" si="7"/>
        <v>-335.25977416008794</v>
      </c>
    </row>
    <row r="136" spans="1:4" x14ac:dyDescent="0.3">
      <c r="A136" s="14">
        <v>125</v>
      </c>
      <c r="B136" s="24">
        <f t="shared" si="5"/>
        <v>170295.34871697353</v>
      </c>
      <c r="C136" s="24">
        <f t="shared" si="6"/>
        <v>-993.38953418234462</v>
      </c>
      <c r="D136" s="24">
        <f t="shared" si="7"/>
        <v>-337.21545617602175</v>
      </c>
    </row>
    <row r="137" spans="1:4" x14ac:dyDescent="0.3">
      <c r="A137" s="14">
        <v>126</v>
      </c>
      <c r="B137" s="24">
        <f t="shared" si="5"/>
        <v>169958.13326079751</v>
      </c>
      <c r="C137" s="24">
        <f t="shared" si="6"/>
        <v>-991.42244402131769</v>
      </c>
      <c r="D137" s="24">
        <f t="shared" si="7"/>
        <v>-339.18254633704856</v>
      </c>
    </row>
    <row r="138" spans="1:4" x14ac:dyDescent="0.3">
      <c r="A138" s="14">
        <v>127</v>
      </c>
      <c r="B138" s="24">
        <f t="shared" si="5"/>
        <v>169618.95071446046</v>
      </c>
      <c r="C138" s="24">
        <f t="shared" si="6"/>
        <v>-989.44387916768505</v>
      </c>
      <c r="D138" s="24">
        <f t="shared" si="7"/>
        <v>-341.16111119068131</v>
      </c>
    </row>
    <row r="139" spans="1:4" x14ac:dyDescent="0.3">
      <c r="A139" s="14">
        <v>128</v>
      </c>
      <c r="B139" s="24">
        <f t="shared" si="5"/>
        <v>169277.78960326978</v>
      </c>
      <c r="C139" s="24">
        <f t="shared" si="6"/>
        <v>-987.45377268573941</v>
      </c>
      <c r="D139" s="24">
        <f t="shared" si="7"/>
        <v>-343.15121767262696</v>
      </c>
    </row>
    <row r="140" spans="1:4" x14ac:dyDescent="0.3">
      <c r="A140" s="14">
        <v>129</v>
      </c>
      <c r="B140" s="24">
        <f t="shared" si="5"/>
        <v>168934.63838559715</v>
      </c>
      <c r="C140" s="24">
        <f t="shared" si="6"/>
        <v>-985.45205724931577</v>
      </c>
      <c r="D140" s="24">
        <f t="shared" si="7"/>
        <v>-345.15293310905065</v>
      </c>
    </row>
    <row r="141" spans="1:4" x14ac:dyDescent="0.3">
      <c r="A141" s="14">
        <v>130</v>
      </c>
      <c r="B141" s="24">
        <f t="shared" si="5"/>
        <v>168589.48545248809</v>
      </c>
      <c r="C141" s="24">
        <f t="shared" si="6"/>
        <v>-983.43866513951286</v>
      </c>
      <c r="D141" s="24">
        <f t="shared" si="7"/>
        <v>-347.16632521885344</v>
      </c>
    </row>
    <row r="142" spans="1:4" x14ac:dyDescent="0.3">
      <c r="A142" s="14">
        <v>131</v>
      </c>
      <c r="B142" s="24">
        <f t="shared" ref="B142:B205" si="8">IFERROR(B141+D141,0)</f>
        <v>168242.31912726923</v>
      </c>
      <c r="C142" s="24">
        <f t="shared" ref="C142:C205" si="9">IFERROR(IPMT(B$4/B$6,A142,B$5*B$6,B$3,B$7,0),0)</f>
        <v>-981.41352824240289</v>
      </c>
      <c r="D142" s="24">
        <f t="shared" ref="D142:D205" si="10">IFERROR(PPMT(B$4/B$6,A142,B$5*B$6,B$3,B$7,0),0)</f>
        <v>-349.19146211596347</v>
      </c>
    </row>
    <row r="143" spans="1:4" x14ac:dyDescent="0.3">
      <c r="A143" s="14">
        <v>132</v>
      </c>
      <c r="B143" s="24">
        <f t="shared" si="8"/>
        <v>167893.12766515327</v>
      </c>
      <c r="C143" s="24">
        <f t="shared" si="9"/>
        <v>-979.37657804672642</v>
      </c>
      <c r="D143" s="24">
        <f t="shared" si="10"/>
        <v>-351.22841231163994</v>
      </c>
    </row>
    <row r="144" spans="1:4" x14ac:dyDescent="0.3">
      <c r="A144" s="14">
        <v>133</v>
      </c>
      <c r="B144" s="24">
        <f t="shared" si="8"/>
        <v>167541.89925284163</v>
      </c>
      <c r="C144" s="24">
        <f t="shared" si="9"/>
        <v>-977.32774564157523</v>
      </c>
      <c r="D144" s="24">
        <f t="shared" si="10"/>
        <v>-353.27724471679107</v>
      </c>
    </row>
    <row r="145" spans="1:4" x14ac:dyDescent="0.3">
      <c r="A145" s="14">
        <v>134</v>
      </c>
      <c r="B145" s="24">
        <f t="shared" si="8"/>
        <v>167188.62200812483</v>
      </c>
      <c r="C145" s="24">
        <f t="shared" si="9"/>
        <v>-975.26696171406059</v>
      </c>
      <c r="D145" s="24">
        <f t="shared" si="10"/>
        <v>-355.33802864430578</v>
      </c>
    </row>
    <row r="146" spans="1:4" x14ac:dyDescent="0.3">
      <c r="A146" s="14">
        <v>135</v>
      </c>
      <c r="B146" s="24">
        <f t="shared" si="8"/>
        <v>166833.28397948053</v>
      </c>
      <c r="C146" s="24">
        <f t="shared" si="9"/>
        <v>-973.19415654696877</v>
      </c>
      <c r="D146" s="24">
        <f t="shared" si="10"/>
        <v>-357.41083381139748</v>
      </c>
    </row>
    <row r="147" spans="1:4" x14ac:dyDescent="0.3">
      <c r="A147" s="14">
        <v>136</v>
      </c>
      <c r="B147" s="24">
        <f t="shared" si="8"/>
        <v>166475.87314566915</v>
      </c>
      <c r="C147" s="24">
        <f t="shared" si="9"/>
        <v>-971.10926001640235</v>
      </c>
      <c r="D147" s="24">
        <f t="shared" si="10"/>
        <v>-359.49573034196402</v>
      </c>
    </row>
    <row r="148" spans="1:4" x14ac:dyDescent="0.3">
      <c r="A148" s="14">
        <v>137</v>
      </c>
      <c r="B148" s="24">
        <f t="shared" si="8"/>
        <v>166116.37741532718</v>
      </c>
      <c r="C148" s="24">
        <f t="shared" si="9"/>
        <v>-969.0122015894076</v>
      </c>
      <c r="D148" s="24">
        <f t="shared" si="10"/>
        <v>-361.59278876895888</v>
      </c>
    </row>
    <row r="149" spans="1:4" x14ac:dyDescent="0.3">
      <c r="A149" s="14">
        <v>138</v>
      </c>
      <c r="B149" s="24">
        <f t="shared" si="8"/>
        <v>165754.78462655822</v>
      </c>
      <c r="C149" s="24">
        <f t="shared" si="9"/>
        <v>-966.90291032158859</v>
      </c>
      <c r="D149" s="24">
        <f t="shared" si="10"/>
        <v>-363.70208003677766</v>
      </c>
    </row>
    <row r="150" spans="1:4" x14ac:dyDescent="0.3">
      <c r="A150" s="14">
        <v>139</v>
      </c>
      <c r="B150" s="24">
        <f t="shared" si="8"/>
        <v>165391.08254652144</v>
      </c>
      <c r="C150" s="24">
        <f t="shared" si="9"/>
        <v>-964.78131485470749</v>
      </c>
      <c r="D150" s="24">
        <f t="shared" si="10"/>
        <v>-365.82367550365893</v>
      </c>
    </row>
    <row r="151" spans="1:4" x14ac:dyDescent="0.3">
      <c r="A151" s="14">
        <v>140</v>
      </c>
      <c r="B151" s="24">
        <f t="shared" si="8"/>
        <v>165025.25887101778</v>
      </c>
      <c r="C151" s="24">
        <f t="shared" si="9"/>
        <v>-962.64734341426936</v>
      </c>
      <c r="D151" s="24">
        <f t="shared" si="10"/>
        <v>-367.95764694409684</v>
      </c>
    </row>
    <row r="152" spans="1:4" x14ac:dyDescent="0.3">
      <c r="A152" s="14">
        <v>141</v>
      </c>
      <c r="B152" s="24">
        <f t="shared" si="8"/>
        <v>164657.30122407369</v>
      </c>
      <c r="C152" s="24">
        <f t="shared" si="9"/>
        <v>-960.50092380709555</v>
      </c>
      <c r="D152" s="24">
        <f t="shared" si="10"/>
        <v>-370.10406655127088</v>
      </c>
    </row>
    <row r="153" spans="1:4" x14ac:dyDescent="0.3">
      <c r="A153" s="14">
        <v>142</v>
      </c>
      <c r="B153" s="24">
        <f t="shared" si="8"/>
        <v>164287.1971575224</v>
      </c>
      <c r="C153" s="24">
        <f t="shared" si="9"/>
        <v>-958.34198341887975</v>
      </c>
      <c r="D153" s="24">
        <f t="shared" si="10"/>
        <v>-372.26300693948662</v>
      </c>
    </row>
    <row r="154" spans="1:4" x14ac:dyDescent="0.3">
      <c r="A154" s="14">
        <v>143</v>
      </c>
      <c r="B154" s="24">
        <f t="shared" si="8"/>
        <v>163914.93415058291</v>
      </c>
      <c r="C154" s="24">
        <f t="shared" si="9"/>
        <v>-956.1704492117326</v>
      </c>
      <c r="D154" s="24">
        <f t="shared" si="10"/>
        <v>-374.43454114663359</v>
      </c>
    </row>
    <row r="155" spans="1:4" x14ac:dyDescent="0.3">
      <c r="A155" s="14">
        <v>144</v>
      </c>
      <c r="B155" s="24">
        <f t="shared" si="8"/>
        <v>163540.49960943629</v>
      </c>
      <c r="C155" s="24">
        <f t="shared" si="9"/>
        <v>-953.9862477217107</v>
      </c>
      <c r="D155" s="24">
        <f t="shared" si="10"/>
        <v>-376.61874263665561</v>
      </c>
    </row>
    <row r="156" spans="1:4" x14ac:dyDescent="0.3">
      <c r="A156" s="14">
        <v>145</v>
      </c>
      <c r="B156" s="24">
        <f t="shared" si="8"/>
        <v>163163.88086679962</v>
      </c>
      <c r="C156" s="24">
        <f t="shared" si="9"/>
        <v>-951.78930505633036</v>
      </c>
      <c r="D156" s="24">
        <f t="shared" si="10"/>
        <v>-378.81568530203617</v>
      </c>
    </row>
    <row r="157" spans="1:4" x14ac:dyDescent="0.3">
      <c r="A157" s="14">
        <v>146</v>
      </c>
      <c r="B157" s="24">
        <f t="shared" si="8"/>
        <v>162785.06518149757</v>
      </c>
      <c r="C157" s="24">
        <f t="shared" si="9"/>
        <v>-949.57954689206838</v>
      </c>
      <c r="D157" s="24">
        <f t="shared" si="10"/>
        <v>-381.02544346629793</v>
      </c>
    </row>
    <row r="158" spans="1:4" x14ac:dyDescent="0.3">
      <c r="A158" s="14">
        <v>147</v>
      </c>
      <c r="B158" s="24">
        <f t="shared" si="8"/>
        <v>162404.03973803128</v>
      </c>
      <c r="C158" s="24">
        <f t="shared" si="9"/>
        <v>-947.35689847184835</v>
      </c>
      <c r="D158" s="24">
        <f t="shared" si="10"/>
        <v>-383.24809188651813</v>
      </c>
    </row>
    <row r="159" spans="1:4" x14ac:dyDescent="0.3">
      <c r="A159" s="14">
        <v>148</v>
      </c>
      <c r="B159" s="24">
        <f t="shared" si="8"/>
        <v>162020.79164614476</v>
      </c>
      <c r="C159" s="24">
        <f t="shared" si="9"/>
        <v>-945.12128460251029</v>
      </c>
      <c r="D159" s="24">
        <f t="shared" si="10"/>
        <v>-385.48370575585608</v>
      </c>
    </row>
    <row r="160" spans="1:4" x14ac:dyDescent="0.3">
      <c r="A160" s="14">
        <v>149</v>
      </c>
      <c r="B160" s="24">
        <f t="shared" si="8"/>
        <v>161635.30794038891</v>
      </c>
      <c r="C160" s="24">
        <f t="shared" si="9"/>
        <v>-942.87262965226773</v>
      </c>
      <c r="D160" s="24">
        <f t="shared" si="10"/>
        <v>-387.73236070609858</v>
      </c>
    </row>
    <row r="161" spans="1:4" x14ac:dyDescent="0.3">
      <c r="A161" s="14">
        <v>150</v>
      </c>
      <c r="B161" s="24">
        <f t="shared" si="8"/>
        <v>161247.5755796828</v>
      </c>
      <c r="C161" s="24">
        <f t="shared" si="9"/>
        <v>-940.61085754814883</v>
      </c>
      <c r="D161" s="24">
        <f t="shared" si="10"/>
        <v>-389.99413281021759</v>
      </c>
    </row>
    <row r="162" spans="1:4" x14ac:dyDescent="0.3">
      <c r="A162" s="14">
        <v>151</v>
      </c>
      <c r="B162" s="24">
        <f t="shared" si="8"/>
        <v>160857.58144687259</v>
      </c>
      <c r="C162" s="24">
        <f t="shared" si="9"/>
        <v>-938.33589177342276</v>
      </c>
      <c r="D162" s="24">
        <f t="shared" si="10"/>
        <v>-392.26909858494372</v>
      </c>
    </row>
    <row r="163" spans="1:4" x14ac:dyDescent="0.3">
      <c r="A163" s="14">
        <v>152</v>
      </c>
      <c r="B163" s="24">
        <f t="shared" si="8"/>
        <v>160465.31234828764</v>
      </c>
      <c r="C163" s="24">
        <f t="shared" si="9"/>
        <v>-936.04765536501043</v>
      </c>
      <c r="D163" s="24">
        <f t="shared" si="10"/>
        <v>-394.55733499335594</v>
      </c>
    </row>
    <row r="164" spans="1:4" x14ac:dyDescent="0.3">
      <c r="A164" s="14">
        <v>153</v>
      </c>
      <c r="B164" s="24">
        <f t="shared" si="8"/>
        <v>160070.75501329429</v>
      </c>
      <c r="C164" s="24">
        <f t="shared" si="9"/>
        <v>-933.74607091088251</v>
      </c>
      <c r="D164" s="24">
        <f t="shared" si="10"/>
        <v>-396.85891944748386</v>
      </c>
    </row>
    <row r="165" spans="1:4" x14ac:dyDescent="0.3">
      <c r="A165" s="14">
        <v>154</v>
      </c>
      <c r="B165" s="24">
        <f t="shared" si="8"/>
        <v>159673.89609384679</v>
      </c>
      <c r="C165" s="24">
        <f t="shared" si="9"/>
        <v>-931.43106054743885</v>
      </c>
      <c r="D165" s="24">
        <f t="shared" si="10"/>
        <v>-399.17392981092752</v>
      </c>
    </row>
    <row r="166" spans="1:4" x14ac:dyDescent="0.3">
      <c r="A166" s="14">
        <v>155</v>
      </c>
      <c r="B166" s="24">
        <f t="shared" si="8"/>
        <v>159274.72216403586</v>
      </c>
      <c r="C166" s="24">
        <f t="shared" si="9"/>
        <v>-929.10254595687525</v>
      </c>
      <c r="D166" s="24">
        <f t="shared" si="10"/>
        <v>-401.50244440149129</v>
      </c>
    </row>
    <row r="167" spans="1:4" x14ac:dyDescent="0.3">
      <c r="A167" s="14">
        <v>156</v>
      </c>
      <c r="B167" s="24">
        <f t="shared" si="8"/>
        <v>158873.21971963436</v>
      </c>
      <c r="C167" s="24">
        <f t="shared" si="9"/>
        <v>-926.76044836453309</v>
      </c>
      <c r="D167" s="24">
        <f t="shared" si="10"/>
        <v>-403.84454199383327</v>
      </c>
    </row>
    <row r="168" spans="1:4" x14ac:dyDescent="0.3">
      <c r="A168" s="14">
        <v>157</v>
      </c>
      <c r="B168" s="24">
        <f t="shared" si="8"/>
        <v>158469.37517764053</v>
      </c>
      <c r="C168" s="24">
        <f t="shared" si="9"/>
        <v>-924.40468853623577</v>
      </c>
      <c r="D168" s="24">
        <f t="shared" si="10"/>
        <v>-406.2003018221306</v>
      </c>
    </row>
    <row r="169" spans="1:4" x14ac:dyDescent="0.3">
      <c r="A169" s="14">
        <v>158</v>
      </c>
      <c r="B169" s="24">
        <f t="shared" si="8"/>
        <v>158063.1748758184</v>
      </c>
      <c r="C169" s="24">
        <f t="shared" si="9"/>
        <v>-922.03518677560669</v>
      </c>
      <c r="D169" s="24">
        <f t="shared" si="10"/>
        <v>-408.56980358275973</v>
      </c>
    </row>
    <row r="170" spans="1:4" x14ac:dyDescent="0.3">
      <c r="A170" s="14">
        <v>159</v>
      </c>
      <c r="B170" s="24">
        <f t="shared" si="8"/>
        <v>157654.60507223563</v>
      </c>
      <c r="C170" s="24">
        <f t="shared" si="9"/>
        <v>-919.65186292137389</v>
      </c>
      <c r="D170" s="24">
        <f t="shared" si="10"/>
        <v>-410.95312743699247</v>
      </c>
    </row>
    <row r="171" spans="1:4" x14ac:dyDescent="0.3">
      <c r="A171" s="14">
        <v>160</v>
      </c>
      <c r="B171" s="24">
        <f t="shared" si="8"/>
        <v>157243.65194479865</v>
      </c>
      <c r="C171" s="24">
        <f t="shared" si="9"/>
        <v>-917.25463634465802</v>
      </c>
      <c r="D171" s="24">
        <f t="shared" si="10"/>
        <v>-413.35035401370828</v>
      </c>
    </row>
    <row r="172" spans="1:4" x14ac:dyDescent="0.3">
      <c r="A172" s="14">
        <v>161</v>
      </c>
      <c r="B172" s="24">
        <f t="shared" si="8"/>
        <v>156830.30159078495</v>
      </c>
      <c r="C172" s="24">
        <f t="shared" si="9"/>
        <v>-914.84342594624491</v>
      </c>
      <c r="D172" s="24">
        <f t="shared" si="10"/>
        <v>-415.76156441212157</v>
      </c>
    </row>
    <row r="173" spans="1:4" x14ac:dyDescent="0.3">
      <c r="A173" s="14">
        <v>162</v>
      </c>
      <c r="B173" s="24">
        <f t="shared" si="8"/>
        <v>156414.54002637282</v>
      </c>
      <c r="C173" s="24">
        <f t="shared" si="9"/>
        <v>-912.41815015384077</v>
      </c>
      <c r="D173" s="24">
        <f t="shared" si="10"/>
        <v>-418.18684020452559</v>
      </c>
    </row>
    <row r="174" spans="1:4" x14ac:dyDescent="0.3">
      <c r="A174" s="14">
        <v>163</v>
      </c>
      <c r="B174" s="24">
        <f t="shared" si="8"/>
        <v>155996.3531861683</v>
      </c>
      <c r="C174" s="24">
        <f t="shared" si="9"/>
        <v>-909.97872691931423</v>
      </c>
      <c r="D174" s="24">
        <f t="shared" si="10"/>
        <v>-420.62626343905208</v>
      </c>
    </row>
    <row r="175" spans="1:4" x14ac:dyDescent="0.3">
      <c r="A175" s="14">
        <v>164</v>
      </c>
      <c r="B175" s="24">
        <f t="shared" si="8"/>
        <v>155575.72692272926</v>
      </c>
      <c r="C175" s="24">
        <f t="shared" si="9"/>
        <v>-907.52507371592003</v>
      </c>
      <c r="D175" s="24">
        <f t="shared" si="10"/>
        <v>-423.07991664244651</v>
      </c>
    </row>
    <row r="176" spans="1:4" x14ac:dyDescent="0.3">
      <c r="A176" s="14">
        <v>165</v>
      </c>
      <c r="B176" s="24">
        <f t="shared" si="8"/>
        <v>155152.6470060868</v>
      </c>
      <c r="C176" s="24">
        <f t="shared" si="9"/>
        <v>-905.05710753550557</v>
      </c>
      <c r="D176" s="24">
        <f t="shared" si="10"/>
        <v>-425.5478828228608</v>
      </c>
    </row>
    <row r="177" spans="1:4" x14ac:dyDescent="0.3">
      <c r="A177" s="14">
        <v>166</v>
      </c>
      <c r="B177" s="24">
        <f t="shared" si="8"/>
        <v>154727.09912326394</v>
      </c>
      <c r="C177" s="24">
        <f t="shared" si="9"/>
        <v>-902.57474488570563</v>
      </c>
      <c r="D177" s="24">
        <f t="shared" si="10"/>
        <v>-428.03024547266068</v>
      </c>
    </row>
    <row r="178" spans="1:4" x14ac:dyDescent="0.3">
      <c r="A178" s="14">
        <v>167</v>
      </c>
      <c r="B178" s="24">
        <f t="shared" si="8"/>
        <v>154299.06887779129</v>
      </c>
      <c r="C178" s="24">
        <f t="shared" si="9"/>
        <v>-900.07790178711502</v>
      </c>
      <c r="D178" s="24">
        <f t="shared" si="10"/>
        <v>-430.52708857125134</v>
      </c>
    </row>
    <row r="179" spans="1:4" x14ac:dyDescent="0.3">
      <c r="A179" s="14">
        <v>168</v>
      </c>
      <c r="B179" s="24">
        <f t="shared" si="8"/>
        <v>153868.54178922003</v>
      </c>
      <c r="C179" s="24">
        <f t="shared" si="9"/>
        <v>-897.56649377044937</v>
      </c>
      <c r="D179" s="24">
        <f t="shared" si="10"/>
        <v>-433.03849658791694</v>
      </c>
    </row>
    <row r="180" spans="1:4" x14ac:dyDescent="0.3">
      <c r="A180" s="14">
        <v>169</v>
      </c>
      <c r="B180" s="24">
        <f t="shared" si="8"/>
        <v>153435.50329263211</v>
      </c>
      <c r="C180" s="24">
        <f t="shared" si="9"/>
        <v>-895.04043587368665</v>
      </c>
      <c r="D180" s="24">
        <f t="shared" si="10"/>
        <v>-435.56455448467972</v>
      </c>
    </row>
    <row r="181" spans="1:4" x14ac:dyDescent="0.3">
      <c r="A181" s="14">
        <v>170</v>
      </c>
      <c r="B181" s="24">
        <f t="shared" si="8"/>
        <v>152999.93873814744</v>
      </c>
      <c r="C181" s="24">
        <f t="shared" si="9"/>
        <v>-892.49964263919253</v>
      </c>
      <c r="D181" s="24">
        <f t="shared" si="10"/>
        <v>-438.10534771917378</v>
      </c>
    </row>
    <row r="182" spans="1:4" x14ac:dyDescent="0.3">
      <c r="A182" s="14">
        <v>171</v>
      </c>
      <c r="B182" s="24">
        <f t="shared" si="8"/>
        <v>152561.83339042828</v>
      </c>
      <c r="C182" s="24">
        <f t="shared" si="9"/>
        <v>-889.9440281108308</v>
      </c>
      <c r="D182" s="24">
        <f t="shared" si="10"/>
        <v>-440.66096224753556</v>
      </c>
    </row>
    <row r="183" spans="1:4" x14ac:dyDescent="0.3">
      <c r="A183" s="14">
        <v>172</v>
      </c>
      <c r="B183" s="24">
        <f t="shared" si="8"/>
        <v>152121.17242818075</v>
      </c>
      <c r="C183" s="24">
        <f t="shared" si="9"/>
        <v>-887.37350583105342</v>
      </c>
      <c r="D183" s="24">
        <f t="shared" si="10"/>
        <v>-443.23148452731283</v>
      </c>
    </row>
    <row r="184" spans="1:4" x14ac:dyDescent="0.3">
      <c r="A184" s="14">
        <v>173</v>
      </c>
      <c r="B184" s="24">
        <f t="shared" si="8"/>
        <v>151677.94094365343</v>
      </c>
      <c r="C184" s="24">
        <f t="shared" si="9"/>
        <v>-884.78798883797742</v>
      </c>
      <c r="D184" s="24">
        <f t="shared" si="10"/>
        <v>-445.81700152038894</v>
      </c>
    </row>
    <row r="185" spans="1:4" x14ac:dyDescent="0.3">
      <c r="A185" s="14">
        <v>174</v>
      </c>
      <c r="B185" s="24">
        <f t="shared" si="8"/>
        <v>151232.12394213304</v>
      </c>
      <c r="C185" s="24">
        <f t="shared" si="9"/>
        <v>-882.18738966244189</v>
      </c>
      <c r="D185" s="24">
        <f t="shared" si="10"/>
        <v>-448.41760069592442</v>
      </c>
    </row>
    <row r="186" spans="1:4" x14ac:dyDescent="0.3">
      <c r="A186" s="14">
        <v>175</v>
      </c>
      <c r="B186" s="24">
        <f t="shared" si="8"/>
        <v>150783.70634143712</v>
      </c>
      <c r="C186" s="24">
        <f t="shared" si="9"/>
        <v>-879.57162032504903</v>
      </c>
      <c r="D186" s="24">
        <f t="shared" si="10"/>
        <v>-451.03337003331734</v>
      </c>
    </row>
    <row r="187" spans="1:4" x14ac:dyDescent="0.3">
      <c r="A187" s="14">
        <v>176</v>
      </c>
      <c r="B187" s="24">
        <f t="shared" si="8"/>
        <v>150332.67297140381</v>
      </c>
      <c r="C187" s="24">
        <f t="shared" si="9"/>
        <v>-876.94059233318785</v>
      </c>
      <c r="D187" s="24">
        <f t="shared" si="10"/>
        <v>-453.66439802517834</v>
      </c>
    </row>
    <row r="188" spans="1:4" x14ac:dyDescent="0.3">
      <c r="A188" s="14">
        <v>177</v>
      </c>
      <c r="B188" s="24">
        <f t="shared" si="8"/>
        <v>149879.00857337864</v>
      </c>
      <c r="C188" s="24">
        <f t="shared" si="9"/>
        <v>-874.29421667804104</v>
      </c>
      <c r="D188" s="24">
        <f t="shared" si="10"/>
        <v>-456.31077368032516</v>
      </c>
    </row>
    <row r="189" spans="1:4" x14ac:dyDescent="0.3">
      <c r="A189" s="14">
        <v>178</v>
      </c>
      <c r="B189" s="24">
        <f t="shared" si="8"/>
        <v>149422.6977996983</v>
      </c>
      <c r="C189" s="24">
        <f t="shared" si="9"/>
        <v>-871.63240383157245</v>
      </c>
      <c r="D189" s="24">
        <f t="shared" si="10"/>
        <v>-458.9725865267938</v>
      </c>
    </row>
    <row r="190" spans="1:4" x14ac:dyDescent="0.3">
      <c r="A190" s="14">
        <v>179</v>
      </c>
      <c r="B190" s="24">
        <f t="shared" si="8"/>
        <v>148963.72521317151</v>
      </c>
      <c r="C190" s="24">
        <f t="shared" si="9"/>
        <v>-868.95506374349964</v>
      </c>
      <c r="D190" s="24">
        <f t="shared" si="10"/>
        <v>-461.64992661486673</v>
      </c>
    </row>
    <row r="191" spans="1:4" x14ac:dyDescent="0.3">
      <c r="A191" s="14">
        <v>180</v>
      </c>
      <c r="B191" s="24">
        <f t="shared" si="8"/>
        <v>148502.07528655665</v>
      </c>
      <c r="C191" s="24">
        <f t="shared" si="9"/>
        <v>-866.26210583824616</v>
      </c>
      <c r="D191" s="24">
        <f t="shared" si="10"/>
        <v>-464.34288452012015</v>
      </c>
    </row>
    <row r="192" spans="1:4" x14ac:dyDescent="0.3">
      <c r="A192" s="14">
        <v>181</v>
      </c>
      <c r="B192" s="24">
        <f t="shared" si="8"/>
        <v>148037.73240203652</v>
      </c>
      <c r="C192" s="24">
        <f t="shared" si="9"/>
        <v>-863.55343901187871</v>
      </c>
      <c r="D192" s="24">
        <f t="shared" si="10"/>
        <v>-467.05155134648754</v>
      </c>
    </row>
    <row r="193" spans="1:4" x14ac:dyDescent="0.3">
      <c r="A193" s="14">
        <v>182</v>
      </c>
      <c r="B193" s="24">
        <f t="shared" si="8"/>
        <v>147570.68085069003</v>
      </c>
      <c r="C193" s="24">
        <f t="shared" si="9"/>
        <v>-860.82897162902429</v>
      </c>
      <c r="D193" s="24">
        <f t="shared" si="10"/>
        <v>-469.77601872934207</v>
      </c>
    </row>
    <row r="194" spans="1:4" x14ac:dyDescent="0.3">
      <c r="A194" s="14">
        <v>183</v>
      </c>
      <c r="B194" s="24">
        <f t="shared" si="8"/>
        <v>147100.90483196068</v>
      </c>
      <c r="C194" s="24">
        <f t="shared" si="9"/>
        <v>-858.08861151976987</v>
      </c>
      <c r="D194" s="24">
        <f t="shared" si="10"/>
        <v>-472.51637883859649</v>
      </c>
    </row>
    <row r="195" spans="1:4" x14ac:dyDescent="0.3">
      <c r="A195" s="14">
        <v>184</v>
      </c>
      <c r="B195" s="24">
        <f t="shared" si="8"/>
        <v>146628.38845312208</v>
      </c>
      <c r="C195" s="24">
        <f t="shared" si="9"/>
        <v>-855.3322659765447</v>
      </c>
      <c r="D195" s="24">
        <f t="shared" si="10"/>
        <v>-475.27272438182166</v>
      </c>
    </row>
    <row r="196" spans="1:4" x14ac:dyDescent="0.3">
      <c r="A196" s="14">
        <v>185</v>
      </c>
      <c r="B196" s="24">
        <f t="shared" si="8"/>
        <v>146153.11572874026</v>
      </c>
      <c r="C196" s="24">
        <f t="shared" si="9"/>
        <v>-852.55984175098388</v>
      </c>
      <c r="D196" s="24">
        <f t="shared" si="10"/>
        <v>-478.04514860738232</v>
      </c>
    </row>
    <row r="197" spans="1:4" x14ac:dyDescent="0.3">
      <c r="A197" s="14">
        <v>186</v>
      </c>
      <c r="B197" s="24">
        <f t="shared" si="8"/>
        <v>145675.07058013289</v>
      </c>
      <c r="C197" s="24">
        <f t="shared" si="9"/>
        <v>-849.77124505077438</v>
      </c>
      <c r="D197" s="24">
        <f t="shared" si="10"/>
        <v>-480.8337453075921</v>
      </c>
    </row>
    <row r="198" spans="1:4" x14ac:dyDescent="0.3">
      <c r="A198" s="14">
        <v>187</v>
      </c>
      <c r="B198" s="24">
        <f t="shared" si="8"/>
        <v>145194.23683482531</v>
      </c>
      <c r="C198" s="24">
        <f t="shared" si="9"/>
        <v>-846.96638153648018</v>
      </c>
      <c r="D198" s="24">
        <f t="shared" si="10"/>
        <v>-483.63860882188629</v>
      </c>
    </row>
    <row r="199" spans="1:4" x14ac:dyDescent="0.3">
      <c r="A199" s="14">
        <v>188</v>
      </c>
      <c r="B199" s="24">
        <f t="shared" si="8"/>
        <v>144710.59822600341</v>
      </c>
      <c r="C199" s="24">
        <f t="shared" si="9"/>
        <v>-844.14515631835241</v>
      </c>
      <c r="D199" s="24">
        <f t="shared" si="10"/>
        <v>-486.45983404001402</v>
      </c>
    </row>
    <row r="200" spans="1:4" x14ac:dyDescent="0.3">
      <c r="A200" s="14">
        <v>189</v>
      </c>
      <c r="B200" s="24">
        <f t="shared" si="8"/>
        <v>144224.13839196338</v>
      </c>
      <c r="C200" s="24">
        <f t="shared" si="9"/>
        <v>-841.30747395311892</v>
      </c>
      <c r="D200" s="24">
        <f t="shared" si="10"/>
        <v>-489.29751640524745</v>
      </c>
    </row>
    <row r="201" spans="1:4" x14ac:dyDescent="0.3">
      <c r="A201" s="14">
        <v>190</v>
      </c>
      <c r="B201" s="24">
        <f t="shared" si="8"/>
        <v>143734.84087555815</v>
      </c>
      <c r="C201" s="24">
        <f t="shared" si="9"/>
        <v>-838.45323844075506</v>
      </c>
      <c r="D201" s="24">
        <f t="shared" si="10"/>
        <v>-492.15175191761136</v>
      </c>
    </row>
    <row r="202" spans="1:4" x14ac:dyDescent="0.3">
      <c r="A202" s="14">
        <v>191</v>
      </c>
      <c r="B202" s="24">
        <f t="shared" si="8"/>
        <v>143242.68912364054</v>
      </c>
      <c r="C202" s="24">
        <f t="shared" si="9"/>
        <v>-835.58235322123562</v>
      </c>
      <c r="D202" s="24">
        <f t="shared" si="10"/>
        <v>-495.0226371371308</v>
      </c>
    </row>
    <row r="203" spans="1:4" x14ac:dyDescent="0.3">
      <c r="A203" s="14">
        <v>192</v>
      </c>
      <c r="B203" s="24">
        <f t="shared" si="8"/>
        <v>142747.66648650341</v>
      </c>
      <c r="C203" s="24">
        <f t="shared" si="9"/>
        <v>-832.69472117126895</v>
      </c>
      <c r="D203" s="24">
        <f t="shared" si="10"/>
        <v>-497.91026918709736</v>
      </c>
    </row>
    <row r="204" spans="1:4" x14ac:dyDescent="0.3">
      <c r="A204" s="14">
        <v>193</v>
      </c>
      <c r="B204" s="24">
        <f t="shared" si="8"/>
        <v>142249.75621731632</v>
      </c>
      <c r="C204" s="24">
        <f t="shared" si="9"/>
        <v>-829.79024460101084</v>
      </c>
      <c r="D204" s="24">
        <f t="shared" si="10"/>
        <v>-500.81474575735547</v>
      </c>
    </row>
    <row r="205" spans="1:4" x14ac:dyDescent="0.3">
      <c r="A205" s="14">
        <v>194</v>
      </c>
      <c r="B205" s="24">
        <f t="shared" si="8"/>
        <v>141748.94147155897</v>
      </c>
      <c r="C205" s="24">
        <f t="shared" si="9"/>
        <v>-826.86882525075953</v>
      </c>
      <c r="D205" s="24">
        <f t="shared" si="10"/>
        <v>-503.73616510760661</v>
      </c>
    </row>
    <row r="206" spans="1:4" x14ac:dyDescent="0.3">
      <c r="A206" s="14">
        <v>195</v>
      </c>
      <c r="B206" s="24">
        <f t="shared" ref="B206:B269" si="11">IFERROR(B205+D205,0)</f>
        <v>141245.20530645136</v>
      </c>
      <c r="C206" s="24">
        <f t="shared" ref="C206:C269" si="12">IFERROR(IPMT(B$4/B$6,A206,B$5*B$6,B$3,B$7,0),0)</f>
        <v>-823.93036428763196</v>
      </c>
      <c r="D206" s="24">
        <f t="shared" ref="D206:D269" si="13">IFERROR(PPMT(B$4/B$6,A206,B$5*B$6,B$3,B$7,0),0)</f>
        <v>-506.6746260707344</v>
      </c>
    </row>
    <row r="207" spans="1:4" x14ac:dyDescent="0.3">
      <c r="A207" s="14">
        <v>196</v>
      </c>
      <c r="B207" s="24">
        <f t="shared" si="11"/>
        <v>140738.53068038062</v>
      </c>
      <c r="C207" s="24">
        <f t="shared" si="12"/>
        <v>-820.97476230221923</v>
      </c>
      <c r="D207" s="24">
        <f t="shared" si="13"/>
        <v>-509.63022805614708</v>
      </c>
    </row>
    <row r="208" spans="1:4" x14ac:dyDescent="0.3">
      <c r="A208" s="14">
        <v>197</v>
      </c>
      <c r="B208" s="24">
        <f t="shared" si="11"/>
        <v>140228.90045232448</v>
      </c>
      <c r="C208" s="24">
        <f t="shared" si="12"/>
        <v>-818.0019193052251</v>
      </c>
      <c r="D208" s="24">
        <f t="shared" si="13"/>
        <v>-512.60307105314121</v>
      </c>
    </row>
    <row r="209" spans="1:4" x14ac:dyDescent="0.3">
      <c r="A209" s="14">
        <v>198</v>
      </c>
      <c r="B209" s="24">
        <f t="shared" si="11"/>
        <v>139716.29738127135</v>
      </c>
      <c r="C209" s="24">
        <f t="shared" si="12"/>
        <v>-815.01173472408186</v>
      </c>
      <c r="D209" s="24">
        <f t="shared" si="13"/>
        <v>-515.59325563428445</v>
      </c>
    </row>
    <row r="210" spans="1:4" x14ac:dyDescent="0.3">
      <c r="A210" s="14">
        <v>199</v>
      </c>
      <c r="B210" s="24">
        <f t="shared" si="11"/>
        <v>139200.70412563707</v>
      </c>
      <c r="C210" s="24">
        <f t="shared" si="12"/>
        <v>-812.00410739954862</v>
      </c>
      <c r="D210" s="24">
        <f t="shared" si="13"/>
        <v>-518.60088295881781</v>
      </c>
    </row>
    <row r="211" spans="1:4" x14ac:dyDescent="0.3">
      <c r="A211" s="14">
        <v>200</v>
      </c>
      <c r="B211" s="24">
        <f t="shared" si="11"/>
        <v>138682.10324267825</v>
      </c>
      <c r="C211" s="24">
        <f t="shared" si="12"/>
        <v>-808.97893558228884</v>
      </c>
      <c r="D211" s="24">
        <f t="shared" si="13"/>
        <v>-521.62605477607769</v>
      </c>
    </row>
    <row r="212" spans="1:4" x14ac:dyDescent="0.3">
      <c r="A212" s="14">
        <v>201</v>
      </c>
      <c r="B212" s="24">
        <f t="shared" si="11"/>
        <v>138160.47718790217</v>
      </c>
      <c r="C212" s="24">
        <f t="shared" si="12"/>
        <v>-805.93611692942818</v>
      </c>
      <c r="D212" s="24">
        <f t="shared" si="13"/>
        <v>-524.66887342893813</v>
      </c>
    </row>
    <row r="213" spans="1:4" x14ac:dyDescent="0.3">
      <c r="A213" s="14">
        <v>202</v>
      </c>
      <c r="B213" s="24">
        <f t="shared" si="11"/>
        <v>137635.80831447322</v>
      </c>
      <c r="C213" s="24">
        <f t="shared" si="12"/>
        <v>-802.87554850109279</v>
      </c>
      <c r="D213" s="24">
        <f t="shared" si="13"/>
        <v>-527.72944185727351</v>
      </c>
    </row>
    <row r="214" spans="1:4" x14ac:dyDescent="0.3">
      <c r="A214" s="14">
        <v>203</v>
      </c>
      <c r="B214" s="24">
        <f t="shared" si="11"/>
        <v>137108.07887261594</v>
      </c>
      <c r="C214" s="24">
        <f t="shared" si="12"/>
        <v>-799.79712675692554</v>
      </c>
      <c r="D214" s="24">
        <f t="shared" si="13"/>
        <v>-530.807863601441</v>
      </c>
    </row>
    <row r="215" spans="1:4" x14ac:dyDescent="0.3">
      <c r="A215" s="14">
        <v>204</v>
      </c>
      <c r="B215" s="24">
        <f t="shared" si="11"/>
        <v>136577.27100901448</v>
      </c>
      <c r="C215" s="24">
        <f t="shared" si="12"/>
        <v>-796.70074755258349</v>
      </c>
      <c r="D215" s="24">
        <f t="shared" si="13"/>
        <v>-533.9042428057827</v>
      </c>
    </row>
    <row r="216" spans="1:4" x14ac:dyDescent="0.3">
      <c r="A216" s="14">
        <v>205</v>
      </c>
      <c r="B216" s="24">
        <f t="shared" si="11"/>
        <v>136043.3667662087</v>
      </c>
      <c r="C216" s="24">
        <f t="shared" si="12"/>
        <v>-793.58630613621654</v>
      </c>
      <c r="D216" s="24">
        <f t="shared" si="13"/>
        <v>-537.01868422214977</v>
      </c>
    </row>
    <row r="217" spans="1:4" x14ac:dyDescent="0.3">
      <c r="A217" s="14">
        <v>206</v>
      </c>
      <c r="B217" s="24">
        <f t="shared" si="11"/>
        <v>135506.34808198654</v>
      </c>
      <c r="C217" s="24">
        <f t="shared" si="12"/>
        <v>-790.45369714492062</v>
      </c>
      <c r="D217" s="24">
        <f t="shared" si="13"/>
        <v>-540.15129321344557</v>
      </c>
    </row>
    <row r="218" spans="1:4" x14ac:dyDescent="0.3">
      <c r="A218" s="14">
        <v>207</v>
      </c>
      <c r="B218" s="24">
        <f t="shared" si="11"/>
        <v>134966.19678877309</v>
      </c>
      <c r="C218" s="24">
        <f t="shared" si="12"/>
        <v>-787.30281460117556</v>
      </c>
      <c r="D218" s="24">
        <f t="shared" si="13"/>
        <v>-543.30217575719075</v>
      </c>
    </row>
    <row r="219" spans="1:4" x14ac:dyDescent="0.3">
      <c r="A219" s="14">
        <v>208</v>
      </c>
      <c r="B219" s="24">
        <f t="shared" si="11"/>
        <v>134422.8946130159</v>
      </c>
      <c r="C219" s="24">
        <f t="shared" si="12"/>
        <v>-784.13355190925847</v>
      </c>
      <c r="D219" s="24">
        <f t="shared" si="13"/>
        <v>-546.47143844910761</v>
      </c>
    </row>
    <row r="220" spans="1:4" x14ac:dyDescent="0.3">
      <c r="A220" s="14">
        <v>209</v>
      </c>
      <c r="B220" s="24">
        <f t="shared" si="11"/>
        <v>133876.42317456679</v>
      </c>
      <c r="C220" s="24">
        <f t="shared" si="12"/>
        <v>-780.94580185163886</v>
      </c>
      <c r="D220" s="24">
        <f t="shared" si="13"/>
        <v>-549.65918850672756</v>
      </c>
    </row>
    <row r="221" spans="1:4" x14ac:dyDescent="0.3">
      <c r="A221" s="14">
        <v>210</v>
      </c>
      <c r="B221" s="24">
        <f t="shared" si="11"/>
        <v>133326.76398606008</v>
      </c>
      <c r="C221" s="24">
        <f t="shared" si="12"/>
        <v>-777.73945658534967</v>
      </c>
      <c r="D221" s="24">
        <f t="shared" si="13"/>
        <v>-552.86553377301675</v>
      </c>
    </row>
    <row r="222" spans="1:4" x14ac:dyDescent="0.3">
      <c r="A222" s="14">
        <v>211</v>
      </c>
      <c r="B222" s="24">
        <f t="shared" si="11"/>
        <v>132773.89845228705</v>
      </c>
      <c r="C222" s="24">
        <f t="shared" si="12"/>
        <v>-774.51440763834046</v>
      </c>
      <c r="D222" s="24">
        <f t="shared" si="13"/>
        <v>-556.09058272002596</v>
      </c>
    </row>
    <row r="223" spans="1:4" x14ac:dyDescent="0.3">
      <c r="A223" s="14">
        <v>212</v>
      </c>
      <c r="B223" s="24">
        <f t="shared" si="11"/>
        <v>132217.80786956701</v>
      </c>
      <c r="C223" s="24">
        <f t="shared" si="12"/>
        <v>-771.27054590580678</v>
      </c>
      <c r="D223" s="24">
        <f t="shared" si="13"/>
        <v>-559.33444445255952</v>
      </c>
    </row>
    <row r="224" spans="1:4" x14ac:dyDescent="0.3">
      <c r="A224" s="14">
        <v>213</v>
      </c>
      <c r="B224" s="24">
        <f t="shared" si="11"/>
        <v>131658.47342511444</v>
      </c>
      <c r="C224" s="24">
        <f t="shared" si="12"/>
        <v>-768.00776164650028</v>
      </c>
      <c r="D224" s="24">
        <f t="shared" si="13"/>
        <v>-562.59722871186614</v>
      </c>
    </row>
    <row r="225" spans="1:4" x14ac:dyDescent="0.3">
      <c r="A225" s="14">
        <v>214</v>
      </c>
      <c r="B225" s="24">
        <f t="shared" si="11"/>
        <v>131095.87619640256</v>
      </c>
      <c r="C225" s="24">
        <f t="shared" si="12"/>
        <v>-764.72594447901452</v>
      </c>
      <c r="D225" s="24">
        <f t="shared" si="13"/>
        <v>-565.87904587935202</v>
      </c>
    </row>
    <row r="226" spans="1:4" x14ac:dyDescent="0.3">
      <c r="A226" s="14">
        <v>215</v>
      </c>
      <c r="B226" s="24">
        <f t="shared" si="11"/>
        <v>130529.99715052321</v>
      </c>
      <c r="C226" s="24">
        <f t="shared" si="12"/>
        <v>-761.42498337805137</v>
      </c>
      <c r="D226" s="24">
        <f t="shared" si="13"/>
        <v>-569.18000698031483</v>
      </c>
    </row>
    <row r="227" spans="1:4" x14ac:dyDescent="0.3">
      <c r="A227" s="14">
        <v>216</v>
      </c>
      <c r="B227" s="24">
        <f t="shared" si="11"/>
        <v>129960.8171435429</v>
      </c>
      <c r="C227" s="24">
        <f t="shared" si="12"/>
        <v>-758.10476667066632</v>
      </c>
      <c r="D227" s="24">
        <f t="shared" si="13"/>
        <v>-572.50022368769999</v>
      </c>
    </row>
    <row r="228" spans="1:4" x14ac:dyDescent="0.3">
      <c r="A228" s="14">
        <v>217</v>
      </c>
      <c r="B228" s="24">
        <f t="shared" si="11"/>
        <v>129388.31691985519</v>
      </c>
      <c r="C228" s="24">
        <f t="shared" si="12"/>
        <v>-754.76518203248804</v>
      </c>
      <c r="D228" s="24">
        <f t="shared" si="13"/>
        <v>-575.83980832587827</v>
      </c>
    </row>
    <row r="229" spans="1:4" x14ac:dyDescent="0.3">
      <c r="A229" s="14">
        <v>218</v>
      </c>
      <c r="B229" s="24">
        <f t="shared" si="11"/>
        <v>128812.47711152931</v>
      </c>
      <c r="C229" s="24">
        <f t="shared" si="12"/>
        <v>-751.4061164839203</v>
      </c>
      <c r="D229" s="24">
        <f t="shared" si="13"/>
        <v>-579.19887387444589</v>
      </c>
    </row>
    <row r="230" spans="1:4" x14ac:dyDescent="0.3">
      <c r="A230" s="14">
        <v>219</v>
      </c>
      <c r="B230" s="24">
        <f t="shared" si="11"/>
        <v>128233.27823765487</v>
      </c>
      <c r="C230" s="24">
        <f t="shared" si="12"/>
        <v>-748.02745638631961</v>
      </c>
      <c r="D230" s="24">
        <f t="shared" si="13"/>
        <v>-582.57753397204681</v>
      </c>
    </row>
    <row r="231" spans="1:4" x14ac:dyDescent="0.3">
      <c r="A231" s="14">
        <v>220</v>
      </c>
      <c r="B231" s="24">
        <f t="shared" si="11"/>
        <v>127650.70070368283</v>
      </c>
      <c r="C231" s="24">
        <f t="shared" si="12"/>
        <v>-744.62908743814933</v>
      </c>
      <c r="D231" s="24">
        <f t="shared" si="13"/>
        <v>-585.97590292021721</v>
      </c>
    </row>
    <row r="232" spans="1:4" x14ac:dyDescent="0.3">
      <c r="A232" s="14">
        <v>221</v>
      </c>
      <c r="B232" s="24">
        <f t="shared" si="11"/>
        <v>127064.72480076262</v>
      </c>
      <c r="C232" s="24">
        <f t="shared" si="12"/>
        <v>-741.2108946711146</v>
      </c>
      <c r="D232" s="24">
        <f t="shared" si="13"/>
        <v>-589.39409568725171</v>
      </c>
    </row>
    <row r="233" spans="1:4" x14ac:dyDescent="0.3">
      <c r="A233" s="14">
        <v>222</v>
      </c>
      <c r="B233" s="24">
        <f t="shared" si="11"/>
        <v>126475.33070507536</v>
      </c>
      <c r="C233" s="24">
        <f t="shared" si="12"/>
        <v>-737.77276244627228</v>
      </c>
      <c r="D233" s="24">
        <f t="shared" si="13"/>
        <v>-592.83222791209403</v>
      </c>
    </row>
    <row r="234" spans="1:4" x14ac:dyDescent="0.3">
      <c r="A234" s="14">
        <v>223</v>
      </c>
      <c r="B234" s="24">
        <f t="shared" si="11"/>
        <v>125882.49847716327</v>
      </c>
      <c r="C234" s="24">
        <f t="shared" si="12"/>
        <v>-734.31457445011836</v>
      </c>
      <c r="D234" s="24">
        <f t="shared" si="13"/>
        <v>-596.29041590824795</v>
      </c>
    </row>
    <row r="235" spans="1:4" x14ac:dyDescent="0.3">
      <c r="A235" s="14">
        <v>224</v>
      </c>
      <c r="B235" s="24">
        <f t="shared" si="11"/>
        <v>125286.20806125502</v>
      </c>
      <c r="C235" s="24">
        <f t="shared" si="12"/>
        <v>-730.83621369065372</v>
      </c>
      <c r="D235" s="24">
        <f t="shared" si="13"/>
        <v>-599.76877666771259</v>
      </c>
    </row>
    <row r="236" spans="1:4" x14ac:dyDescent="0.3">
      <c r="A236" s="14">
        <v>225</v>
      </c>
      <c r="B236" s="24">
        <f t="shared" si="11"/>
        <v>124686.43928458731</v>
      </c>
      <c r="C236" s="24">
        <f t="shared" si="12"/>
        <v>-727.33756249342548</v>
      </c>
      <c r="D236" s="24">
        <f t="shared" si="13"/>
        <v>-603.26742786494094</v>
      </c>
    </row>
    <row r="237" spans="1:4" x14ac:dyDescent="0.3">
      <c r="A237" s="14">
        <v>226</v>
      </c>
      <c r="B237" s="24">
        <f t="shared" si="11"/>
        <v>124083.17185672237</v>
      </c>
      <c r="C237" s="24">
        <f t="shared" si="12"/>
        <v>-723.81850249754666</v>
      </c>
      <c r="D237" s="24">
        <f t="shared" si="13"/>
        <v>-606.78648786081976</v>
      </c>
    </row>
    <row r="238" spans="1:4" x14ac:dyDescent="0.3">
      <c r="A238" s="14">
        <v>227</v>
      </c>
      <c r="B238" s="24">
        <f t="shared" si="11"/>
        <v>123476.38536886155</v>
      </c>
      <c r="C238" s="24">
        <f t="shared" si="12"/>
        <v>-720.27891465169171</v>
      </c>
      <c r="D238" s="24">
        <f t="shared" si="13"/>
        <v>-610.3260757066746</v>
      </c>
    </row>
    <row r="239" spans="1:4" x14ac:dyDescent="0.3">
      <c r="A239" s="14">
        <v>228</v>
      </c>
      <c r="B239" s="24">
        <f t="shared" si="11"/>
        <v>122866.05929315487</v>
      </c>
      <c r="C239" s="24">
        <f t="shared" si="12"/>
        <v>-716.71867921006947</v>
      </c>
      <c r="D239" s="24">
        <f t="shared" si="13"/>
        <v>-613.88631114829684</v>
      </c>
    </row>
    <row r="240" spans="1:4" x14ac:dyDescent="0.3">
      <c r="A240" s="14">
        <v>229</v>
      </c>
      <c r="B240" s="24">
        <f t="shared" si="11"/>
        <v>122252.17298200658</v>
      </c>
      <c r="C240" s="24">
        <f t="shared" si="12"/>
        <v>-713.13767572837105</v>
      </c>
      <c r="D240" s="24">
        <f t="shared" si="13"/>
        <v>-617.46731462999526</v>
      </c>
    </row>
    <row r="241" spans="1:4" x14ac:dyDescent="0.3">
      <c r="A241" s="14">
        <v>230</v>
      </c>
      <c r="B241" s="24">
        <f t="shared" si="11"/>
        <v>121634.70566737659</v>
      </c>
      <c r="C241" s="24">
        <f t="shared" si="12"/>
        <v>-709.53578305969609</v>
      </c>
      <c r="D241" s="24">
        <f t="shared" si="13"/>
        <v>-621.06920729867022</v>
      </c>
    </row>
    <row r="242" spans="1:4" x14ac:dyDescent="0.3">
      <c r="A242" s="14">
        <v>231</v>
      </c>
      <c r="B242" s="24">
        <f t="shared" si="11"/>
        <v>121013.63646007792</v>
      </c>
      <c r="C242" s="24">
        <f t="shared" si="12"/>
        <v>-705.91287935045386</v>
      </c>
      <c r="D242" s="24">
        <f t="shared" si="13"/>
        <v>-624.69211100791244</v>
      </c>
    </row>
    <row r="243" spans="1:4" x14ac:dyDescent="0.3">
      <c r="A243" s="14">
        <v>232</v>
      </c>
      <c r="B243" s="24">
        <f t="shared" si="11"/>
        <v>120388.94434907001</v>
      </c>
      <c r="C243" s="24">
        <f t="shared" si="12"/>
        <v>-702.26884203624104</v>
      </c>
      <c r="D243" s="24">
        <f t="shared" si="13"/>
        <v>-628.33614832212538</v>
      </c>
    </row>
    <row r="244" spans="1:4" x14ac:dyDescent="0.3">
      <c r="A244" s="14">
        <v>233</v>
      </c>
      <c r="B244" s="24">
        <f t="shared" si="11"/>
        <v>119760.60820074788</v>
      </c>
      <c r="C244" s="24">
        <f t="shared" si="12"/>
        <v>-698.60354783769537</v>
      </c>
      <c r="D244" s="24">
        <f t="shared" si="13"/>
        <v>-632.00144252067105</v>
      </c>
    </row>
    <row r="245" spans="1:4" x14ac:dyDescent="0.3">
      <c r="A245" s="14">
        <v>234</v>
      </c>
      <c r="B245" s="24">
        <f t="shared" si="11"/>
        <v>119128.60675822721</v>
      </c>
      <c r="C245" s="24">
        <f t="shared" si="12"/>
        <v>-694.91687275632466</v>
      </c>
      <c r="D245" s="24">
        <f t="shared" si="13"/>
        <v>-635.68811760204164</v>
      </c>
    </row>
    <row r="246" spans="1:4" x14ac:dyDescent="0.3">
      <c r="A246" s="14">
        <v>235</v>
      </c>
      <c r="B246" s="24">
        <f t="shared" si="11"/>
        <v>118492.91864062517</v>
      </c>
      <c r="C246" s="24">
        <f t="shared" si="12"/>
        <v>-691.20869207031285</v>
      </c>
      <c r="D246" s="24">
        <f t="shared" si="13"/>
        <v>-639.39629828805357</v>
      </c>
    </row>
    <row r="247" spans="1:4" x14ac:dyDescent="0.3">
      <c r="A247" s="14">
        <v>236</v>
      </c>
      <c r="B247" s="24">
        <f t="shared" si="11"/>
        <v>117853.52234233712</v>
      </c>
      <c r="C247" s="24">
        <f t="shared" si="12"/>
        <v>-687.47888033029926</v>
      </c>
      <c r="D247" s="24">
        <f t="shared" si="13"/>
        <v>-643.12611002806716</v>
      </c>
    </row>
    <row r="248" spans="1:4" x14ac:dyDescent="0.3">
      <c r="A248" s="14">
        <v>237</v>
      </c>
      <c r="B248" s="24">
        <f t="shared" si="11"/>
        <v>117210.39623230905</v>
      </c>
      <c r="C248" s="24">
        <f t="shared" si="12"/>
        <v>-683.72731135513527</v>
      </c>
      <c r="D248" s="24">
        <f t="shared" si="13"/>
        <v>-646.87767900323092</v>
      </c>
    </row>
    <row r="249" spans="1:4" x14ac:dyDescent="0.3">
      <c r="A249" s="14">
        <v>238</v>
      </c>
      <c r="B249" s="24">
        <f t="shared" si="11"/>
        <v>116563.51855330582</v>
      </c>
      <c r="C249" s="24">
        <f t="shared" si="12"/>
        <v>-679.95385822761671</v>
      </c>
      <c r="D249" s="24">
        <f t="shared" si="13"/>
        <v>-650.65113213074983</v>
      </c>
    </row>
    <row r="250" spans="1:4" x14ac:dyDescent="0.3">
      <c r="A250" s="14">
        <v>239</v>
      </c>
      <c r="B250" s="24">
        <f t="shared" si="11"/>
        <v>115912.86742117508</v>
      </c>
      <c r="C250" s="24">
        <f t="shared" si="12"/>
        <v>-676.15839329018718</v>
      </c>
      <c r="D250" s="24">
        <f t="shared" si="13"/>
        <v>-654.44659706817913</v>
      </c>
    </row>
    <row r="251" spans="1:4" x14ac:dyDescent="0.3">
      <c r="A251" s="14">
        <v>240</v>
      </c>
      <c r="B251" s="24">
        <f t="shared" si="11"/>
        <v>115258.4208241069</v>
      </c>
      <c r="C251" s="24">
        <f t="shared" si="12"/>
        <v>-672.34078814062275</v>
      </c>
      <c r="D251" s="24">
        <f t="shared" si="13"/>
        <v>-658.26420221774356</v>
      </c>
    </row>
    <row r="252" spans="1:4" x14ac:dyDescent="0.3">
      <c r="A252" s="14">
        <v>241</v>
      </c>
      <c r="B252" s="24">
        <f t="shared" si="11"/>
        <v>114600.15662188915</v>
      </c>
      <c r="C252" s="24">
        <f t="shared" si="12"/>
        <v>-668.50091362768603</v>
      </c>
      <c r="D252" s="24">
        <f t="shared" si="13"/>
        <v>-662.10407673068039</v>
      </c>
    </row>
    <row r="253" spans="1:4" x14ac:dyDescent="0.3">
      <c r="A253" s="14">
        <v>242</v>
      </c>
      <c r="B253" s="24">
        <f t="shared" si="11"/>
        <v>113938.05254515847</v>
      </c>
      <c r="C253" s="24">
        <f t="shared" si="12"/>
        <v>-664.63863984675697</v>
      </c>
      <c r="D253" s="24">
        <f t="shared" si="13"/>
        <v>-665.96635051160933</v>
      </c>
    </row>
    <row r="254" spans="1:4" x14ac:dyDescent="0.3">
      <c r="A254" s="14">
        <v>243</v>
      </c>
      <c r="B254" s="24">
        <f t="shared" si="11"/>
        <v>113272.08619464686</v>
      </c>
      <c r="C254" s="24">
        <f t="shared" si="12"/>
        <v>-660.75383613543943</v>
      </c>
      <c r="D254" s="24">
        <f t="shared" si="13"/>
        <v>-669.85115422292699</v>
      </c>
    </row>
    <row r="255" spans="1:4" x14ac:dyDescent="0.3">
      <c r="A255" s="14">
        <v>244</v>
      </c>
      <c r="B255" s="24">
        <f t="shared" si="11"/>
        <v>112602.23504042394</v>
      </c>
      <c r="C255" s="24">
        <f t="shared" si="12"/>
        <v>-656.84637106913897</v>
      </c>
      <c r="D255" s="24">
        <f t="shared" si="13"/>
        <v>-673.75861928922745</v>
      </c>
    </row>
    <row r="256" spans="1:4" x14ac:dyDescent="0.3">
      <c r="A256" s="14">
        <v>245</v>
      </c>
      <c r="B256" s="24">
        <f t="shared" si="11"/>
        <v>111928.47642113471</v>
      </c>
      <c r="C256" s="24">
        <f t="shared" si="12"/>
        <v>-652.91611245661841</v>
      </c>
      <c r="D256" s="24">
        <f t="shared" si="13"/>
        <v>-677.68887790174801</v>
      </c>
    </row>
    <row r="257" spans="1:4" x14ac:dyDescent="0.3">
      <c r="A257" s="14">
        <v>246</v>
      </c>
      <c r="B257" s="24">
        <f t="shared" si="11"/>
        <v>111250.78754323296</v>
      </c>
      <c r="C257" s="24">
        <f t="shared" si="12"/>
        <v>-648.96292733552491</v>
      </c>
      <c r="D257" s="24">
        <f t="shared" si="13"/>
        <v>-681.64206302284151</v>
      </c>
    </row>
    <row r="258" spans="1:4" x14ac:dyDescent="0.3">
      <c r="A258" s="14">
        <v>247</v>
      </c>
      <c r="B258" s="24">
        <f t="shared" si="11"/>
        <v>110569.14548021012</v>
      </c>
      <c r="C258" s="24">
        <f t="shared" si="12"/>
        <v>-644.98668196789174</v>
      </c>
      <c r="D258" s="24">
        <f t="shared" si="13"/>
        <v>-685.61830839047468</v>
      </c>
    </row>
    <row r="259" spans="1:4" x14ac:dyDescent="0.3">
      <c r="A259" s="14">
        <v>248</v>
      </c>
      <c r="B259" s="24">
        <f t="shared" si="11"/>
        <v>109883.52717181965</v>
      </c>
      <c r="C259" s="24">
        <f t="shared" si="12"/>
        <v>-640.98724183561399</v>
      </c>
      <c r="D259" s="24">
        <f t="shared" si="13"/>
        <v>-689.61774852275244</v>
      </c>
    </row>
    <row r="260" spans="1:4" x14ac:dyDescent="0.3">
      <c r="A260" s="14">
        <v>249</v>
      </c>
      <c r="B260" s="24">
        <f t="shared" si="11"/>
        <v>109193.90942329689</v>
      </c>
      <c r="C260" s="24">
        <f t="shared" si="12"/>
        <v>-636.96447163589789</v>
      </c>
      <c r="D260" s="24">
        <f t="shared" si="13"/>
        <v>-693.64051872246864</v>
      </c>
    </row>
    <row r="261" spans="1:4" x14ac:dyDescent="0.3">
      <c r="A261" s="14">
        <v>250</v>
      </c>
      <c r="B261" s="24">
        <f t="shared" si="11"/>
        <v>108500.26890457442</v>
      </c>
      <c r="C261" s="24">
        <f t="shared" si="12"/>
        <v>-632.91823527668339</v>
      </c>
      <c r="D261" s="24">
        <f t="shared" si="13"/>
        <v>-697.68675508168303</v>
      </c>
    </row>
    <row r="262" spans="1:4" x14ac:dyDescent="0.3">
      <c r="A262" s="14">
        <v>251</v>
      </c>
      <c r="B262" s="24">
        <f t="shared" si="11"/>
        <v>107802.58214949274</v>
      </c>
      <c r="C262" s="24">
        <f t="shared" si="12"/>
        <v>-628.84839587204033</v>
      </c>
      <c r="D262" s="24">
        <f t="shared" si="13"/>
        <v>-701.75659448632609</v>
      </c>
    </row>
    <row r="263" spans="1:4" x14ac:dyDescent="0.3">
      <c r="A263" s="14">
        <v>252</v>
      </c>
      <c r="B263" s="24">
        <f t="shared" si="11"/>
        <v>107100.82555500641</v>
      </c>
      <c r="C263" s="24">
        <f t="shared" si="12"/>
        <v>-624.75481573753677</v>
      </c>
      <c r="D263" s="24">
        <f t="shared" si="13"/>
        <v>-705.85017462082976</v>
      </c>
    </row>
    <row r="264" spans="1:4" x14ac:dyDescent="0.3">
      <c r="A264" s="14">
        <v>253</v>
      </c>
      <c r="B264" s="24">
        <f t="shared" si="11"/>
        <v>106394.97538038557</v>
      </c>
      <c r="C264" s="24">
        <f t="shared" si="12"/>
        <v>-620.63735638558194</v>
      </c>
      <c r="D264" s="24">
        <f t="shared" si="13"/>
        <v>-709.9676339727846</v>
      </c>
    </row>
    <row r="265" spans="1:4" x14ac:dyDescent="0.3">
      <c r="A265" s="14">
        <v>254</v>
      </c>
      <c r="B265" s="24">
        <f t="shared" si="11"/>
        <v>105685.00774641278</v>
      </c>
      <c r="C265" s="24">
        <f t="shared" si="12"/>
        <v>-616.49587852074058</v>
      </c>
      <c r="D265" s="24">
        <f t="shared" si="13"/>
        <v>-714.10911183762573</v>
      </c>
    </row>
    <row r="266" spans="1:4" x14ac:dyDescent="0.3">
      <c r="A266" s="14">
        <v>255</v>
      </c>
      <c r="B266" s="24">
        <f t="shared" si="11"/>
        <v>104970.89863457516</v>
      </c>
      <c r="C266" s="24">
        <f t="shared" si="12"/>
        <v>-612.33024203502112</v>
      </c>
      <c r="D266" s="24">
        <f t="shared" si="13"/>
        <v>-718.27474832334519</v>
      </c>
    </row>
    <row r="267" spans="1:4" x14ac:dyDescent="0.3">
      <c r="A267" s="14">
        <v>256</v>
      </c>
      <c r="B267" s="24">
        <f t="shared" si="11"/>
        <v>104252.62388625182</v>
      </c>
      <c r="C267" s="24">
        <f t="shared" si="12"/>
        <v>-608.14030600313492</v>
      </c>
      <c r="D267" s="24">
        <f t="shared" si="13"/>
        <v>-722.46468435523127</v>
      </c>
    </row>
    <row r="268" spans="1:4" x14ac:dyDescent="0.3">
      <c r="A268" s="14">
        <v>257</v>
      </c>
      <c r="B268" s="24">
        <f t="shared" si="11"/>
        <v>103530.15920189659</v>
      </c>
      <c r="C268" s="24">
        <f t="shared" si="12"/>
        <v>-603.92592867772942</v>
      </c>
      <c r="D268" s="24">
        <f t="shared" si="13"/>
        <v>-726.67906168063689</v>
      </c>
    </row>
    <row r="269" spans="1:4" x14ac:dyDescent="0.3">
      <c r="A269" s="14">
        <v>258</v>
      </c>
      <c r="B269" s="24">
        <f t="shared" si="11"/>
        <v>102803.48014021595</v>
      </c>
      <c r="C269" s="24">
        <f t="shared" si="12"/>
        <v>-599.68696748459229</v>
      </c>
      <c r="D269" s="24">
        <f t="shared" si="13"/>
        <v>-730.91802287377391</v>
      </c>
    </row>
    <row r="270" spans="1:4" x14ac:dyDescent="0.3">
      <c r="A270" s="14">
        <v>259</v>
      </c>
      <c r="B270" s="24">
        <f t="shared" ref="B270:B333" si="14">IFERROR(B269+D269,0)</f>
        <v>102072.56211734218</v>
      </c>
      <c r="C270" s="24">
        <f t="shared" ref="C270:C333" si="15">IFERROR(IPMT(B$4/B$6,A270,B$5*B$6,B$3,B$7,0),0)</f>
        <v>-595.42327901782869</v>
      </c>
      <c r="D270" s="24">
        <f t="shared" ref="D270:D333" si="16">IFERROR(PPMT(B$4/B$6,A270,B$5*B$6,B$3,B$7,0),0)</f>
        <v>-735.18171134053773</v>
      </c>
    </row>
    <row r="271" spans="1:4" x14ac:dyDescent="0.3">
      <c r="A271" s="14">
        <v>260</v>
      </c>
      <c r="B271" s="24">
        <f t="shared" si="14"/>
        <v>101337.38040600164</v>
      </c>
      <c r="C271" s="24">
        <f t="shared" si="15"/>
        <v>-591.13471903500897</v>
      </c>
      <c r="D271" s="24">
        <f t="shared" si="16"/>
        <v>-739.47027132335745</v>
      </c>
    </row>
    <row r="272" spans="1:4" x14ac:dyDescent="0.3">
      <c r="A272" s="14">
        <v>261</v>
      </c>
      <c r="B272" s="24">
        <f t="shared" si="14"/>
        <v>100597.91013467828</v>
      </c>
      <c r="C272" s="24">
        <f t="shared" si="15"/>
        <v>-586.82114245228934</v>
      </c>
      <c r="D272" s="24">
        <f t="shared" si="16"/>
        <v>-743.78384790607697</v>
      </c>
    </row>
    <row r="273" spans="1:4" x14ac:dyDescent="0.3">
      <c r="A273" s="14">
        <v>262</v>
      </c>
      <c r="B273" s="24">
        <f t="shared" si="14"/>
        <v>99854.126286772211</v>
      </c>
      <c r="C273" s="24">
        <f t="shared" si="15"/>
        <v>-582.48240333950389</v>
      </c>
      <c r="D273" s="24">
        <f t="shared" si="16"/>
        <v>-748.12258701886265</v>
      </c>
    </row>
    <row r="274" spans="1:4" x14ac:dyDescent="0.3">
      <c r="A274" s="14">
        <v>263</v>
      </c>
      <c r="B274" s="24">
        <f t="shared" si="14"/>
        <v>99106.003699753346</v>
      </c>
      <c r="C274" s="24">
        <f t="shared" si="15"/>
        <v>-578.11835491522709</v>
      </c>
      <c r="D274" s="24">
        <f t="shared" si="16"/>
        <v>-752.48663544313922</v>
      </c>
    </row>
    <row r="275" spans="1:4" x14ac:dyDescent="0.3">
      <c r="A275" s="14">
        <v>264</v>
      </c>
      <c r="B275" s="24">
        <f t="shared" si="14"/>
        <v>98353.517064310203</v>
      </c>
      <c r="C275" s="24">
        <f t="shared" si="15"/>
        <v>-573.72884954180881</v>
      </c>
      <c r="D275" s="24">
        <f t="shared" si="16"/>
        <v>-756.87614081655738</v>
      </c>
    </row>
    <row r="276" spans="1:4" x14ac:dyDescent="0.3">
      <c r="A276" s="14">
        <v>265</v>
      </c>
      <c r="B276" s="24">
        <f t="shared" si="14"/>
        <v>97596.640923493644</v>
      </c>
      <c r="C276" s="24">
        <f t="shared" si="15"/>
        <v>-569.31373872037898</v>
      </c>
      <c r="D276" s="24">
        <f t="shared" si="16"/>
        <v>-761.29125163798733</v>
      </c>
    </row>
    <row r="277" spans="1:4" x14ac:dyDescent="0.3">
      <c r="A277" s="14">
        <v>266</v>
      </c>
      <c r="B277" s="24">
        <f t="shared" si="14"/>
        <v>96835.349671855656</v>
      </c>
      <c r="C277" s="24">
        <f t="shared" si="15"/>
        <v>-564.87287308582404</v>
      </c>
      <c r="D277" s="24">
        <f t="shared" si="16"/>
        <v>-765.73211727254238</v>
      </c>
    </row>
    <row r="278" spans="1:4" x14ac:dyDescent="0.3">
      <c r="A278" s="14">
        <v>267</v>
      </c>
      <c r="B278" s="24">
        <f t="shared" si="14"/>
        <v>96069.617554583121</v>
      </c>
      <c r="C278" s="24">
        <f t="shared" si="15"/>
        <v>-560.40610240173419</v>
      </c>
      <c r="D278" s="24">
        <f t="shared" si="16"/>
        <v>-770.19888795663235</v>
      </c>
    </row>
    <row r="279" spans="1:4" x14ac:dyDescent="0.3">
      <c r="A279" s="14">
        <v>268</v>
      </c>
      <c r="B279" s="24">
        <f t="shared" si="14"/>
        <v>95299.418666626487</v>
      </c>
      <c r="C279" s="24">
        <f t="shared" si="15"/>
        <v>-555.91327555532052</v>
      </c>
      <c r="D279" s="24">
        <f t="shared" si="16"/>
        <v>-774.6917148030459</v>
      </c>
    </row>
    <row r="280" spans="1:4" x14ac:dyDescent="0.3">
      <c r="A280" s="14">
        <v>269</v>
      </c>
      <c r="B280" s="24">
        <f t="shared" si="14"/>
        <v>94524.726951823439</v>
      </c>
      <c r="C280" s="24">
        <f t="shared" si="15"/>
        <v>-551.39424055230279</v>
      </c>
      <c r="D280" s="24">
        <f t="shared" si="16"/>
        <v>-779.21074980606375</v>
      </c>
    </row>
    <row r="281" spans="1:4" x14ac:dyDescent="0.3">
      <c r="A281" s="14">
        <v>270</v>
      </c>
      <c r="B281" s="24">
        <f t="shared" si="14"/>
        <v>93745.516202017374</v>
      </c>
      <c r="C281" s="24">
        <f t="shared" si="15"/>
        <v>-546.84884451176731</v>
      </c>
      <c r="D281" s="24">
        <f t="shared" si="16"/>
        <v>-783.756145846599</v>
      </c>
    </row>
    <row r="282" spans="1:4" x14ac:dyDescent="0.3">
      <c r="A282" s="14">
        <v>271</v>
      </c>
      <c r="B282" s="24">
        <f t="shared" si="14"/>
        <v>92961.76005617078</v>
      </c>
      <c r="C282" s="24">
        <f t="shared" si="15"/>
        <v>-542.27693366099538</v>
      </c>
      <c r="D282" s="24">
        <f t="shared" si="16"/>
        <v>-788.32805669737081</v>
      </c>
    </row>
    <row r="283" spans="1:4" x14ac:dyDescent="0.3">
      <c r="A283" s="14">
        <v>272</v>
      </c>
      <c r="B283" s="24">
        <f t="shared" si="14"/>
        <v>92173.431999473411</v>
      </c>
      <c r="C283" s="24">
        <f t="shared" si="15"/>
        <v>-537.67835333026085</v>
      </c>
      <c r="D283" s="24">
        <f t="shared" si="16"/>
        <v>-792.92663702810557</v>
      </c>
    </row>
    <row r="284" spans="1:4" x14ac:dyDescent="0.3">
      <c r="A284" s="14">
        <v>273</v>
      </c>
      <c r="B284" s="24">
        <f t="shared" si="14"/>
        <v>91380.505362445299</v>
      </c>
      <c r="C284" s="24">
        <f t="shared" si="15"/>
        <v>-533.05294794759698</v>
      </c>
      <c r="D284" s="24">
        <f t="shared" si="16"/>
        <v>-797.55204241076956</v>
      </c>
    </row>
    <row r="285" spans="1:4" x14ac:dyDescent="0.3">
      <c r="A285" s="14">
        <v>274</v>
      </c>
      <c r="B285" s="24">
        <f t="shared" si="14"/>
        <v>90582.953320034532</v>
      </c>
      <c r="C285" s="24">
        <f t="shared" si="15"/>
        <v>-528.40056103353413</v>
      </c>
      <c r="D285" s="24">
        <f t="shared" si="16"/>
        <v>-802.20442932483218</v>
      </c>
    </row>
    <row r="286" spans="1:4" x14ac:dyDescent="0.3">
      <c r="A286" s="14">
        <v>275</v>
      </c>
      <c r="B286" s="24">
        <f t="shared" si="14"/>
        <v>89780.748890709699</v>
      </c>
      <c r="C286" s="24">
        <f t="shared" si="15"/>
        <v>-523.72103519580583</v>
      </c>
      <c r="D286" s="24">
        <f t="shared" si="16"/>
        <v>-806.88395516256048</v>
      </c>
    </row>
    <row r="287" spans="1:4" x14ac:dyDescent="0.3">
      <c r="A287" s="14">
        <v>276</v>
      </c>
      <c r="B287" s="24">
        <f t="shared" si="14"/>
        <v>88973.864935547143</v>
      </c>
      <c r="C287" s="24">
        <f t="shared" si="15"/>
        <v>-519.01421212402431</v>
      </c>
      <c r="D287" s="24">
        <f t="shared" si="16"/>
        <v>-811.590778234342</v>
      </c>
    </row>
    <row r="288" spans="1:4" x14ac:dyDescent="0.3">
      <c r="A288" s="14">
        <v>277</v>
      </c>
      <c r="B288" s="24">
        <f t="shared" si="14"/>
        <v>88162.274157312801</v>
      </c>
      <c r="C288" s="24">
        <f t="shared" si="15"/>
        <v>-514.279932584324</v>
      </c>
      <c r="D288" s="24">
        <f t="shared" si="16"/>
        <v>-816.32505777404242</v>
      </c>
    </row>
    <row r="289" spans="1:4" x14ac:dyDescent="0.3">
      <c r="A289" s="14">
        <v>278</v>
      </c>
      <c r="B289" s="24">
        <f t="shared" si="14"/>
        <v>87345.94909953876</v>
      </c>
      <c r="C289" s="24">
        <f t="shared" si="15"/>
        <v>-509.51803641397544</v>
      </c>
      <c r="D289" s="24">
        <f t="shared" si="16"/>
        <v>-821.08695394439087</v>
      </c>
    </row>
    <row r="290" spans="1:4" x14ac:dyDescent="0.3">
      <c r="A290" s="14">
        <v>279</v>
      </c>
      <c r="B290" s="24">
        <f t="shared" si="14"/>
        <v>86524.862145594365</v>
      </c>
      <c r="C290" s="24">
        <f t="shared" si="15"/>
        <v>-504.72836251596647</v>
      </c>
      <c r="D290" s="24">
        <f t="shared" si="16"/>
        <v>-825.87662784240001</v>
      </c>
    </row>
    <row r="291" spans="1:4" x14ac:dyDescent="0.3">
      <c r="A291" s="14">
        <v>280</v>
      </c>
      <c r="B291" s="24">
        <f t="shared" si="14"/>
        <v>85698.985517751964</v>
      </c>
      <c r="C291" s="24">
        <f t="shared" si="15"/>
        <v>-499.91074885355238</v>
      </c>
      <c r="D291" s="24">
        <f t="shared" si="16"/>
        <v>-830.69424150481382</v>
      </c>
    </row>
    <row r="292" spans="1:4" x14ac:dyDescent="0.3">
      <c r="A292" s="14">
        <v>281</v>
      </c>
      <c r="B292" s="24">
        <f t="shared" si="14"/>
        <v>84868.291276247153</v>
      </c>
      <c r="C292" s="24">
        <f t="shared" si="15"/>
        <v>-495.06503244477432</v>
      </c>
      <c r="D292" s="24">
        <f t="shared" si="16"/>
        <v>-835.53995791359193</v>
      </c>
    </row>
    <row r="293" spans="1:4" x14ac:dyDescent="0.3">
      <c r="A293" s="14">
        <v>282</v>
      </c>
      <c r="B293" s="24">
        <f t="shared" si="14"/>
        <v>84032.751318333554</v>
      </c>
      <c r="C293" s="24">
        <f t="shared" si="15"/>
        <v>-490.19104935694509</v>
      </c>
      <c r="D293" s="24">
        <f t="shared" si="16"/>
        <v>-840.41394100142122</v>
      </c>
    </row>
    <row r="294" spans="1:4" x14ac:dyDescent="0.3">
      <c r="A294" s="14">
        <v>283</v>
      </c>
      <c r="B294" s="24">
        <f t="shared" si="14"/>
        <v>83192.337377332136</v>
      </c>
      <c r="C294" s="24">
        <f t="shared" si="15"/>
        <v>-485.28863470110338</v>
      </c>
      <c r="D294" s="24">
        <f t="shared" si="16"/>
        <v>-845.31635565726299</v>
      </c>
    </row>
    <row r="295" spans="1:4" x14ac:dyDescent="0.3">
      <c r="A295" s="14">
        <v>284</v>
      </c>
      <c r="B295" s="24">
        <f t="shared" si="14"/>
        <v>82347.021021674867</v>
      </c>
      <c r="C295" s="24">
        <f t="shared" si="15"/>
        <v>-480.35762262643607</v>
      </c>
      <c r="D295" s="24">
        <f t="shared" si="16"/>
        <v>-850.24736773193035</v>
      </c>
    </row>
    <row r="296" spans="1:4" x14ac:dyDescent="0.3">
      <c r="A296" s="14">
        <v>285</v>
      </c>
      <c r="B296" s="24">
        <f t="shared" si="14"/>
        <v>81496.773653942932</v>
      </c>
      <c r="C296" s="24">
        <f t="shared" si="15"/>
        <v>-475.39784631466642</v>
      </c>
      <c r="D296" s="24">
        <f t="shared" si="16"/>
        <v>-855.20714404369983</v>
      </c>
    </row>
    <row r="297" spans="1:4" x14ac:dyDescent="0.3">
      <c r="A297" s="14">
        <v>286</v>
      </c>
      <c r="B297" s="24">
        <f t="shared" si="14"/>
        <v>80641.566509899232</v>
      </c>
      <c r="C297" s="24">
        <f t="shared" si="15"/>
        <v>-470.40913797441152</v>
      </c>
      <c r="D297" s="24">
        <f t="shared" si="16"/>
        <v>-860.19585238395473</v>
      </c>
    </row>
    <row r="298" spans="1:4" x14ac:dyDescent="0.3">
      <c r="A298" s="14">
        <v>287</v>
      </c>
      <c r="B298" s="24">
        <f t="shared" si="14"/>
        <v>79781.370657515276</v>
      </c>
      <c r="C298" s="24">
        <f t="shared" si="15"/>
        <v>-465.39132883550519</v>
      </c>
      <c r="D298" s="24">
        <f t="shared" si="16"/>
        <v>-865.21366152286123</v>
      </c>
    </row>
    <row r="299" spans="1:4" x14ac:dyDescent="0.3">
      <c r="A299" s="14">
        <v>288</v>
      </c>
      <c r="B299" s="24">
        <f t="shared" si="14"/>
        <v>78916.156995992409</v>
      </c>
      <c r="C299" s="24">
        <f t="shared" si="15"/>
        <v>-460.34424914328849</v>
      </c>
      <c r="D299" s="24">
        <f t="shared" si="16"/>
        <v>-870.26074121507781</v>
      </c>
    </row>
    <row r="300" spans="1:4" x14ac:dyDescent="0.3">
      <c r="A300" s="14">
        <v>289</v>
      </c>
      <c r="B300" s="24">
        <f t="shared" si="14"/>
        <v>78045.896254777326</v>
      </c>
      <c r="C300" s="24">
        <f t="shared" si="15"/>
        <v>-455.26772815286716</v>
      </c>
      <c r="D300" s="24">
        <f t="shared" si="16"/>
        <v>-875.33726220549909</v>
      </c>
    </row>
    <row r="301" spans="1:4" x14ac:dyDescent="0.3">
      <c r="A301" s="14">
        <v>290</v>
      </c>
      <c r="B301" s="24">
        <f t="shared" si="14"/>
        <v>77170.558992571823</v>
      </c>
      <c r="C301" s="24">
        <f t="shared" si="15"/>
        <v>-450.16159412333508</v>
      </c>
      <c r="D301" s="24">
        <f t="shared" si="16"/>
        <v>-880.44339623503129</v>
      </c>
    </row>
    <row r="302" spans="1:4" x14ac:dyDescent="0.3">
      <c r="A302" s="14">
        <v>291</v>
      </c>
      <c r="B302" s="24">
        <f t="shared" si="14"/>
        <v>76290.115596336793</v>
      </c>
      <c r="C302" s="24">
        <f t="shared" si="15"/>
        <v>-445.02567431196411</v>
      </c>
      <c r="D302" s="24">
        <f t="shared" si="16"/>
        <v>-885.57931604640225</v>
      </c>
    </row>
    <row r="303" spans="1:4" x14ac:dyDescent="0.3">
      <c r="A303" s="14">
        <v>292</v>
      </c>
      <c r="B303" s="24">
        <f t="shared" si="14"/>
        <v>75404.536280290384</v>
      </c>
      <c r="C303" s="24">
        <f t="shared" si="15"/>
        <v>-439.85979496836018</v>
      </c>
      <c r="D303" s="24">
        <f t="shared" si="16"/>
        <v>-890.74519539000619</v>
      </c>
    </row>
    <row r="304" spans="1:4" x14ac:dyDescent="0.3">
      <c r="A304" s="14">
        <v>293</v>
      </c>
      <c r="B304" s="24">
        <f t="shared" si="14"/>
        <v>74513.791084900382</v>
      </c>
      <c r="C304" s="24">
        <f t="shared" si="15"/>
        <v>-434.663781328585</v>
      </c>
      <c r="D304" s="24">
        <f t="shared" si="16"/>
        <v>-895.94120902978125</v>
      </c>
    </row>
    <row r="305" spans="1:4" x14ac:dyDescent="0.3">
      <c r="A305" s="14">
        <v>294</v>
      </c>
      <c r="B305" s="24">
        <f t="shared" si="14"/>
        <v>73617.849875870597</v>
      </c>
      <c r="C305" s="24">
        <f t="shared" si="15"/>
        <v>-429.43745760924457</v>
      </c>
      <c r="D305" s="24">
        <f t="shared" si="16"/>
        <v>-901.16753274912173</v>
      </c>
    </row>
    <row r="306" spans="1:4" x14ac:dyDescent="0.3">
      <c r="A306" s="14">
        <v>295</v>
      </c>
      <c r="B306" s="24">
        <f t="shared" si="14"/>
        <v>72716.682343121473</v>
      </c>
      <c r="C306" s="24">
        <f t="shared" si="15"/>
        <v>-424.18064700154144</v>
      </c>
      <c r="D306" s="24">
        <f t="shared" si="16"/>
        <v>-906.42434335682492</v>
      </c>
    </row>
    <row r="307" spans="1:4" x14ac:dyDescent="0.3">
      <c r="A307" s="14">
        <v>296</v>
      </c>
      <c r="B307" s="24">
        <f t="shared" si="14"/>
        <v>71810.257999764654</v>
      </c>
      <c r="C307" s="24">
        <f t="shared" si="15"/>
        <v>-418.89317166529321</v>
      </c>
      <c r="D307" s="24">
        <f t="shared" si="16"/>
        <v>-911.71181869307316</v>
      </c>
    </row>
    <row r="308" spans="1:4" x14ac:dyDescent="0.3">
      <c r="A308" s="14">
        <v>297</v>
      </c>
      <c r="B308" s="24">
        <f t="shared" si="14"/>
        <v>70898.546181071579</v>
      </c>
      <c r="C308" s="24">
        <f t="shared" si="15"/>
        <v>-413.57485272291706</v>
      </c>
      <c r="D308" s="24">
        <f t="shared" si="16"/>
        <v>-917.03013763544925</v>
      </c>
    </row>
    <row r="309" spans="1:4" x14ac:dyDescent="0.3">
      <c r="A309" s="14">
        <v>298</v>
      </c>
      <c r="B309" s="24">
        <f t="shared" si="14"/>
        <v>69981.516043436131</v>
      </c>
      <c r="C309" s="24">
        <f t="shared" si="15"/>
        <v>-408.22551025337697</v>
      </c>
      <c r="D309" s="24">
        <f t="shared" si="16"/>
        <v>-922.3794801049894</v>
      </c>
    </row>
    <row r="310" spans="1:4" x14ac:dyDescent="0.3">
      <c r="A310" s="14">
        <v>299</v>
      </c>
      <c r="B310" s="24">
        <f t="shared" si="14"/>
        <v>69059.136563331136</v>
      </c>
      <c r="C310" s="24">
        <f t="shared" si="15"/>
        <v>-402.84496328609782</v>
      </c>
      <c r="D310" s="24">
        <f t="shared" si="16"/>
        <v>-927.76002707226849</v>
      </c>
    </row>
    <row r="311" spans="1:4" x14ac:dyDescent="0.3">
      <c r="A311" s="14">
        <v>300</v>
      </c>
      <c r="B311" s="24">
        <f t="shared" si="14"/>
        <v>68131.376536258875</v>
      </c>
      <c r="C311" s="24">
        <f t="shared" si="15"/>
        <v>-397.43302979484292</v>
      </c>
      <c r="D311" s="24">
        <f t="shared" si="16"/>
        <v>-933.17196056352338</v>
      </c>
    </row>
    <row r="312" spans="1:4" x14ac:dyDescent="0.3">
      <c r="A312" s="14">
        <v>301</v>
      </c>
      <c r="B312" s="24">
        <f t="shared" si="14"/>
        <v>67198.204575695345</v>
      </c>
      <c r="C312" s="24">
        <f t="shared" si="15"/>
        <v>-391.98952669155568</v>
      </c>
      <c r="D312" s="24">
        <f t="shared" si="16"/>
        <v>-938.61546366681057</v>
      </c>
    </row>
    <row r="313" spans="1:4" x14ac:dyDescent="0.3">
      <c r="A313" s="14">
        <v>302</v>
      </c>
      <c r="B313" s="24">
        <f t="shared" si="14"/>
        <v>66259.589112028538</v>
      </c>
      <c r="C313" s="24">
        <f t="shared" si="15"/>
        <v>-386.51426982016596</v>
      </c>
      <c r="D313" s="24">
        <f t="shared" si="16"/>
        <v>-944.09072053820034</v>
      </c>
    </row>
    <row r="314" spans="1:4" x14ac:dyDescent="0.3">
      <c r="A314" s="14">
        <v>303</v>
      </c>
      <c r="B314" s="24">
        <f t="shared" si="14"/>
        <v>65315.498391490335</v>
      </c>
      <c r="C314" s="24">
        <f t="shared" si="15"/>
        <v>-381.00707395035977</v>
      </c>
      <c r="D314" s="24">
        <f t="shared" si="16"/>
        <v>-949.59791640800654</v>
      </c>
    </row>
    <row r="315" spans="1:4" x14ac:dyDescent="0.3">
      <c r="A315" s="14">
        <v>304</v>
      </c>
      <c r="B315" s="24">
        <f t="shared" si="14"/>
        <v>64365.90047508233</v>
      </c>
      <c r="C315" s="24">
        <f t="shared" si="15"/>
        <v>-375.46775277131303</v>
      </c>
      <c r="D315" s="24">
        <f t="shared" si="16"/>
        <v>-955.13723758705316</v>
      </c>
    </row>
    <row r="316" spans="1:4" x14ac:dyDescent="0.3">
      <c r="A316" s="14">
        <v>305</v>
      </c>
      <c r="B316" s="24">
        <f t="shared" si="14"/>
        <v>63410.763237495274</v>
      </c>
      <c r="C316" s="24">
        <f t="shared" si="15"/>
        <v>-369.8961188853886</v>
      </c>
      <c r="D316" s="24">
        <f t="shared" si="16"/>
        <v>-960.70887147297776</v>
      </c>
    </row>
    <row r="317" spans="1:4" x14ac:dyDescent="0.3">
      <c r="A317" s="14">
        <v>306</v>
      </c>
      <c r="B317" s="24">
        <f t="shared" si="14"/>
        <v>62450.054366022297</v>
      </c>
      <c r="C317" s="24">
        <f t="shared" si="15"/>
        <v>-364.29198380179622</v>
      </c>
      <c r="D317" s="24">
        <f t="shared" si="16"/>
        <v>-966.31300655657003</v>
      </c>
    </row>
    <row r="318" spans="1:4" x14ac:dyDescent="0.3">
      <c r="A318" s="14">
        <v>307</v>
      </c>
      <c r="B318" s="24">
        <f t="shared" si="14"/>
        <v>61483.741359465726</v>
      </c>
      <c r="C318" s="24">
        <f t="shared" si="15"/>
        <v>-358.65515793021615</v>
      </c>
      <c r="D318" s="24">
        <f t="shared" si="16"/>
        <v>-971.9498324281501</v>
      </c>
    </row>
    <row r="319" spans="1:4" x14ac:dyDescent="0.3">
      <c r="A319" s="14">
        <v>308</v>
      </c>
      <c r="B319" s="24">
        <f t="shared" si="14"/>
        <v>60511.791527037574</v>
      </c>
      <c r="C319" s="24">
        <f t="shared" si="15"/>
        <v>-352.98545057438537</v>
      </c>
      <c r="D319" s="24">
        <f t="shared" si="16"/>
        <v>-977.61953978398083</v>
      </c>
    </row>
    <row r="320" spans="1:4" x14ac:dyDescent="0.3">
      <c r="A320" s="14">
        <v>309</v>
      </c>
      <c r="B320" s="24">
        <f t="shared" si="14"/>
        <v>59534.17198725359</v>
      </c>
      <c r="C320" s="24">
        <f t="shared" si="15"/>
        <v>-347.28266992564556</v>
      </c>
      <c r="D320" s="24">
        <f t="shared" si="16"/>
        <v>-983.32232043272086</v>
      </c>
    </row>
    <row r="321" spans="1:4" x14ac:dyDescent="0.3">
      <c r="A321" s="14">
        <v>310</v>
      </c>
      <c r="B321" s="24">
        <f t="shared" si="14"/>
        <v>58550.849666820868</v>
      </c>
      <c r="C321" s="24">
        <f t="shared" si="15"/>
        <v>-341.54662305645462</v>
      </c>
      <c r="D321" s="24">
        <f t="shared" si="16"/>
        <v>-989.05836730191174</v>
      </c>
    </row>
    <row r="322" spans="1:4" x14ac:dyDescent="0.3">
      <c r="A322" s="14">
        <v>311</v>
      </c>
      <c r="B322" s="24">
        <f t="shared" si="14"/>
        <v>57561.791299518954</v>
      </c>
      <c r="C322" s="24">
        <f t="shared" si="15"/>
        <v>-335.77711591386014</v>
      </c>
      <c r="D322" s="24">
        <f t="shared" si="16"/>
        <v>-994.82787444450628</v>
      </c>
    </row>
    <row r="323" spans="1:4" x14ac:dyDescent="0.3">
      <c r="A323" s="14">
        <v>312</v>
      </c>
      <c r="B323" s="24">
        <f t="shared" si="14"/>
        <v>56566.963425074449</v>
      </c>
      <c r="C323" s="24">
        <f t="shared" si="15"/>
        <v>-329.97395331293382</v>
      </c>
      <c r="D323" s="24">
        <f t="shared" si="16"/>
        <v>-1000.6310370454324</v>
      </c>
    </row>
    <row r="324" spans="1:4" x14ac:dyDescent="0.3">
      <c r="A324" s="14">
        <v>313</v>
      </c>
      <c r="B324" s="24">
        <f t="shared" si="14"/>
        <v>55566.332388029019</v>
      </c>
      <c r="C324" s="24">
        <f t="shared" si="15"/>
        <v>-324.13693893016881</v>
      </c>
      <c r="D324" s="24">
        <f t="shared" si="16"/>
        <v>-1006.4680514281976</v>
      </c>
    </row>
    <row r="325" spans="1:4" x14ac:dyDescent="0.3">
      <c r="A325" s="14">
        <v>314</v>
      </c>
      <c r="B325" s="24">
        <f t="shared" si="14"/>
        <v>54559.864336600818</v>
      </c>
      <c r="C325" s="24">
        <f t="shared" si="15"/>
        <v>-318.26587529683763</v>
      </c>
      <c r="D325" s="24">
        <f t="shared" si="16"/>
        <v>-1012.3391150615288</v>
      </c>
    </row>
    <row r="326" spans="1:4" x14ac:dyDescent="0.3">
      <c r="A326" s="14">
        <v>315</v>
      </c>
      <c r="B326" s="24">
        <f t="shared" si="14"/>
        <v>53547.52522153929</v>
      </c>
      <c r="C326" s="24">
        <f t="shared" si="15"/>
        <v>-312.36056379231212</v>
      </c>
      <c r="D326" s="24">
        <f t="shared" si="16"/>
        <v>-1018.2444265660544</v>
      </c>
    </row>
    <row r="327" spans="1:4" x14ac:dyDescent="0.3">
      <c r="A327" s="14">
        <v>316</v>
      </c>
      <c r="B327" s="24">
        <f t="shared" si="14"/>
        <v>52529.280794973238</v>
      </c>
      <c r="C327" s="24">
        <f t="shared" si="15"/>
        <v>-306.42080463734345</v>
      </c>
      <c r="D327" s="24">
        <f t="shared" si="16"/>
        <v>-1024.1841857210231</v>
      </c>
    </row>
    <row r="328" spans="1:4" x14ac:dyDescent="0.3">
      <c r="A328" s="14">
        <v>317</v>
      </c>
      <c r="B328" s="24">
        <f t="shared" si="14"/>
        <v>51505.096609252214</v>
      </c>
      <c r="C328" s="24">
        <f t="shared" si="15"/>
        <v>-300.4463968873041</v>
      </c>
      <c r="D328" s="24">
        <f t="shared" si="16"/>
        <v>-1030.1585934710622</v>
      </c>
    </row>
    <row r="329" spans="1:4" x14ac:dyDescent="0.3">
      <c r="A329" s="14">
        <v>318</v>
      </c>
      <c r="B329" s="24">
        <f t="shared" si="14"/>
        <v>50474.938015781154</v>
      </c>
      <c r="C329" s="24">
        <f t="shared" si="15"/>
        <v>-294.43713842538955</v>
      </c>
      <c r="D329" s="24">
        <f t="shared" si="16"/>
        <v>-1036.1678519329769</v>
      </c>
    </row>
    <row r="330" spans="1:4" x14ac:dyDescent="0.3">
      <c r="A330" s="14">
        <v>319</v>
      </c>
      <c r="B330" s="24">
        <f t="shared" si="14"/>
        <v>49438.770163848174</v>
      </c>
      <c r="C330" s="24">
        <f t="shared" si="15"/>
        <v>-288.39282595578055</v>
      </c>
      <c r="D330" s="24">
        <f t="shared" si="16"/>
        <v>-1042.2121644025858</v>
      </c>
    </row>
    <row r="331" spans="1:4" x14ac:dyDescent="0.3">
      <c r="A331" s="14">
        <v>320</v>
      </c>
      <c r="B331" s="24">
        <f t="shared" si="14"/>
        <v>48396.557999445591</v>
      </c>
      <c r="C331" s="24">
        <f t="shared" si="15"/>
        <v>-282.31325499676547</v>
      </c>
      <c r="D331" s="24">
        <f t="shared" si="16"/>
        <v>-1048.291735361601</v>
      </c>
    </row>
    <row r="332" spans="1:4" x14ac:dyDescent="0.3">
      <c r="A332" s="14">
        <v>321</v>
      </c>
      <c r="B332" s="24">
        <f t="shared" si="14"/>
        <v>47348.266264083992</v>
      </c>
      <c r="C332" s="24">
        <f t="shared" si="15"/>
        <v>-276.19821987382278</v>
      </c>
      <c r="D332" s="24">
        <f t="shared" si="16"/>
        <v>-1054.4067704845436</v>
      </c>
    </row>
    <row r="333" spans="1:4" x14ac:dyDescent="0.3">
      <c r="A333" s="14">
        <v>322</v>
      </c>
      <c r="B333" s="24">
        <f t="shared" si="14"/>
        <v>46293.859493599448</v>
      </c>
      <c r="C333" s="24">
        <f t="shared" si="15"/>
        <v>-270.04751371266298</v>
      </c>
      <c r="D333" s="24">
        <f t="shared" si="16"/>
        <v>-1060.5574766457034</v>
      </c>
    </row>
    <row r="334" spans="1:4" x14ac:dyDescent="0.3">
      <c r="A334" s="14">
        <v>323</v>
      </c>
      <c r="B334" s="24">
        <f t="shared" ref="B334:B371" si="17">IFERROR(B333+D333,0)</f>
        <v>45233.302016953741</v>
      </c>
      <c r="C334" s="24">
        <f t="shared" ref="C334:C371" si="18">IFERROR(IPMT(B$4/B$6,A334,B$5*B$6,B$3,B$7,0),0)</f>
        <v>-263.86092843222968</v>
      </c>
      <c r="D334" s="24">
        <f t="shared" ref="D334:D371" si="19">IFERROR(PPMT(B$4/B$6,A334,B$5*B$6,B$3,B$7,0),0)</f>
        <v>-1066.7440619261367</v>
      </c>
    </row>
    <row r="335" spans="1:4" x14ac:dyDescent="0.3">
      <c r="A335" s="14">
        <v>324</v>
      </c>
      <c r="B335" s="24">
        <f t="shared" si="17"/>
        <v>44166.557955027602</v>
      </c>
      <c r="C335" s="24">
        <f t="shared" si="18"/>
        <v>-257.63825473766053</v>
      </c>
      <c r="D335" s="24">
        <f t="shared" si="19"/>
        <v>-1072.9667356207058</v>
      </c>
    </row>
    <row r="336" spans="1:4" x14ac:dyDescent="0.3">
      <c r="A336" s="14">
        <v>325</v>
      </c>
      <c r="B336" s="24">
        <f t="shared" si="17"/>
        <v>43093.591219406895</v>
      </c>
      <c r="C336" s="24">
        <f t="shared" si="18"/>
        <v>-251.37928211320653</v>
      </c>
      <c r="D336" s="24">
        <f t="shared" si="19"/>
        <v>-1079.2257082451599</v>
      </c>
    </row>
    <row r="337" spans="1:4" x14ac:dyDescent="0.3">
      <c r="A337" s="14">
        <v>326</v>
      </c>
      <c r="B337" s="24">
        <f t="shared" si="17"/>
        <v>42014.365511161734</v>
      </c>
      <c r="C337" s="24">
        <f t="shared" si="18"/>
        <v>-245.08379881510965</v>
      </c>
      <c r="D337" s="24">
        <f t="shared" si="19"/>
        <v>-1085.5211915432565</v>
      </c>
    </row>
    <row r="338" spans="1:4" x14ac:dyDescent="0.3">
      <c r="A338" s="14">
        <v>327</v>
      </c>
      <c r="B338" s="24">
        <f t="shared" si="17"/>
        <v>40928.844319618474</v>
      </c>
      <c r="C338" s="24">
        <f t="shared" si="18"/>
        <v>-238.75159186444068</v>
      </c>
      <c r="D338" s="24">
        <f t="shared" si="19"/>
        <v>-1091.8533984939256</v>
      </c>
    </row>
    <row r="339" spans="1:4" x14ac:dyDescent="0.3">
      <c r="A339" s="14">
        <v>328</v>
      </c>
      <c r="B339" s="24">
        <f t="shared" si="17"/>
        <v>39836.990921124547</v>
      </c>
      <c r="C339" s="24">
        <f t="shared" si="18"/>
        <v>-232.38244703989278</v>
      </c>
      <c r="D339" s="24">
        <f t="shared" si="19"/>
        <v>-1098.2225433184735</v>
      </c>
    </row>
    <row r="340" spans="1:4" x14ac:dyDescent="0.3">
      <c r="A340" s="14">
        <v>329</v>
      </c>
      <c r="B340" s="24">
        <f t="shared" si="17"/>
        <v>38738.768377806075</v>
      </c>
      <c r="C340" s="24">
        <f t="shared" si="18"/>
        <v>-225.97614887053501</v>
      </c>
      <c r="D340" s="24">
        <f t="shared" si="19"/>
        <v>-1104.6288414878313</v>
      </c>
    </row>
    <row r="341" spans="1:4" x14ac:dyDescent="0.3">
      <c r="A341" s="14">
        <v>330</v>
      </c>
      <c r="B341" s="24">
        <f t="shared" si="17"/>
        <v>37634.139536318246</v>
      </c>
      <c r="C341" s="24">
        <f t="shared" si="18"/>
        <v>-219.53248062852265</v>
      </c>
      <c r="D341" s="24">
        <f t="shared" si="19"/>
        <v>-1111.0725097298434</v>
      </c>
    </row>
    <row r="342" spans="1:4" x14ac:dyDescent="0.3">
      <c r="A342" s="14">
        <v>331</v>
      </c>
      <c r="B342" s="24">
        <f t="shared" si="17"/>
        <v>36523.067026588404</v>
      </c>
      <c r="C342" s="24">
        <f t="shared" si="18"/>
        <v>-213.05122432176523</v>
      </c>
      <c r="D342" s="24">
        <f t="shared" si="19"/>
        <v>-1117.553766036601</v>
      </c>
    </row>
    <row r="343" spans="1:4" x14ac:dyDescent="0.3">
      <c r="A343" s="14">
        <v>332</v>
      </c>
      <c r="B343" s="24">
        <f t="shared" si="17"/>
        <v>35405.513260551801</v>
      </c>
      <c r="C343" s="24">
        <f t="shared" si="18"/>
        <v>-206.53216068655172</v>
      </c>
      <c r="D343" s="24">
        <f t="shared" si="19"/>
        <v>-1124.0728296718146</v>
      </c>
    </row>
    <row r="344" spans="1:4" x14ac:dyDescent="0.3">
      <c r="A344" s="14">
        <v>333</v>
      </c>
      <c r="B344" s="24">
        <f t="shared" si="17"/>
        <v>34281.440430879986</v>
      </c>
      <c r="C344" s="24">
        <f t="shared" si="18"/>
        <v>-199.97506918013283</v>
      </c>
      <c r="D344" s="24">
        <f t="shared" si="19"/>
        <v>-1130.6299211782334</v>
      </c>
    </row>
    <row r="345" spans="1:4" x14ac:dyDescent="0.3">
      <c r="A345" s="14">
        <v>334</v>
      </c>
      <c r="B345" s="24">
        <f t="shared" si="17"/>
        <v>33150.810509701754</v>
      </c>
      <c r="C345" s="24">
        <f t="shared" si="18"/>
        <v>-193.37972797325978</v>
      </c>
      <c r="D345" s="24">
        <f t="shared" si="19"/>
        <v>-1137.2252623851066</v>
      </c>
    </row>
    <row r="346" spans="1:4" x14ac:dyDescent="0.3">
      <c r="A346" s="14">
        <v>335</v>
      </c>
      <c r="B346" s="24">
        <f t="shared" si="17"/>
        <v>32013.585247316649</v>
      </c>
      <c r="C346" s="24">
        <f t="shared" si="18"/>
        <v>-186.74591394268</v>
      </c>
      <c r="D346" s="24">
        <f t="shared" si="19"/>
        <v>-1143.8590764156863</v>
      </c>
    </row>
    <row r="347" spans="1:4" x14ac:dyDescent="0.3">
      <c r="A347" s="14">
        <v>336</v>
      </c>
      <c r="B347" s="24">
        <f t="shared" si="17"/>
        <v>30869.726170900962</v>
      </c>
      <c r="C347" s="24">
        <f t="shared" si="18"/>
        <v>-180.07340266358852</v>
      </c>
      <c r="D347" s="24">
        <f t="shared" si="19"/>
        <v>-1150.5315876947777</v>
      </c>
    </row>
    <row r="348" spans="1:4" x14ac:dyDescent="0.3">
      <c r="A348" s="14">
        <v>337</v>
      </c>
      <c r="B348" s="24">
        <f t="shared" si="17"/>
        <v>29719.194583206183</v>
      </c>
      <c r="C348" s="24">
        <f t="shared" si="18"/>
        <v>-173.36196840203564</v>
      </c>
      <c r="D348" s="24">
        <f t="shared" si="19"/>
        <v>-1157.2430219563307</v>
      </c>
    </row>
    <row r="349" spans="1:4" x14ac:dyDescent="0.3">
      <c r="A349" s="14">
        <v>338</v>
      </c>
      <c r="B349" s="24">
        <f t="shared" si="17"/>
        <v>28561.951561249851</v>
      </c>
      <c r="C349" s="24">
        <f t="shared" si="18"/>
        <v>-166.61138410729035</v>
      </c>
      <c r="D349" s="24">
        <f t="shared" si="19"/>
        <v>-1163.9936062510758</v>
      </c>
    </row>
    <row r="350" spans="1:4" x14ac:dyDescent="0.3">
      <c r="A350" s="14">
        <v>339</v>
      </c>
      <c r="B350" s="24">
        <f t="shared" si="17"/>
        <v>27397.957954998776</v>
      </c>
      <c r="C350" s="24">
        <f t="shared" si="18"/>
        <v>-159.82142140415905</v>
      </c>
      <c r="D350" s="24">
        <f t="shared" si="19"/>
        <v>-1170.7835689542071</v>
      </c>
    </row>
    <row r="351" spans="1:4" x14ac:dyDescent="0.3">
      <c r="A351" s="14">
        <v>340</v>
      </c>
      <c r="B351" s="24">
        <f t="shared" si="17"/>
        <v>26227.174386044568</v>
      </c>
      <c r="C351" s="24">
        <f t="shared" si="18"/>
        <v>-152.99185058525953</v>
      </c>
      <c r="D351" s="24">
        <f t="shared" si="19"/>
        <v>-1177.6131397731069</v>
      </c>
    </row>
    <row r="352" spans="1:4" x14ac:dyDescent="0.3">
      <c r="A352" s="14">
        <v>341</v>
      </c>
      <c r="B352" s="24">
        <f t="shared" si="17"/>
        <v>25049.56124627146</v>
      </c>
      <c r="C352" s="24">
        <f t="shared" si="18"/>
        <v>-146.12244060324974</v>
      </c>
      <c r="D352" s="24">
        <f t="shared" si="19"/>
        <v>-1184.4825497551167</v>
      </c>
    </row>
    <row r="353" spans="1:4" x14ac:dyDescent="0.3">
      <c r="A353" s="14">
        <v>342</v>
      </c>
      <c r="B353" s="24">
        <f t="shared" si="17"/>
        <v>23865.078696516342</v>
      </c>
      <c r="C353" s="24">
        <f t="shared" si="18"/>
        <v>-139.21295906301157</v>
      </c>
      <c r="D353" s="24">
        <f t="shared" si="19"/>
        <v>-1191.3920312953546</v>
      </c>
    </row>
    <row r="354" spans="1:4" x14ac:dyDescent="0.3">
      <c r="A354" s="14">
        <v>343</v>
      </c>
      <c r="B354" s="24">
        <f t="shared" si="17"/>
        <v>22673.686665220986</v>
      </c>
      <c r="C354" s="24">
        <f t="shared" si="18"/>
        <v>-132.26317221378869</v>
      </c>
      <c r="D354" s="24">
        <f t="shared" si="19"/>
        <v>-1198.3418181445777</v>
      </c>
    </row>
    <row r="355" spans="1:4" x14ac:dyDescent="0.3">
      <c r="A355" s="14">
        <v>344</v>
      </c>
      <c r="B355" s="24">
        <f t="shared" si="17"/>
        <v>21475.344847076409</v>
      </c>
      <c r="C355" s="24">
        <f t="shared" si="18"/>
        <v>-125.27284494127865</v>
      </c>
      <c r="D355" s="24">
        <f t="shared" si="19"/>
        <v>-1205.3321454170878</v>
      </c>
    </row>
    <row r="356" spans="1:4" x14ac:dyDescent="0.3">
      <c r="A356" s="14">
        <v>345</v>
      </c>
      <c r="B356" s="24">
        <f t="shared" si="17"/>
        <v>20270.012701659321</v>
      </c>
      <c r="C356" s="24">
        <f t="shared" si="18"/>
        <v>-118.24174075967896</v>
      </c>
      <c r="D356" s="24">
        <f t="shared" si="19"/>
        <v>-1212.3632495986874</v>
      </c>
    </row>
    <row r="357" spans="1:4" x14ac:dyDescent="0.3">
      <c r="A357" s="14">
        <v>346</v>
      </c>
      <c r="B357" s="24">
        <f t="shared" si="17"/>
        <v>19057.649452060636</v>
      </c>
      <c r="C357" s="24">
        <f t="shared" si="18"/>
        <v>-111.16962180368662</v>
      </c>
      <c r="D357" s="24">
        <f t="shared" si="19"/>
        <v>-1219.4353685546796</v>
      </c>
    </row>
    <row r="358" spans="1:4" x14ac:dyDescent="0.3">
      <c r="A358" s="14">
        <v>347</v>
      </c>
      <c r="B358" s="24">
        <f t="shared" si="17"/>
        <v>17838.214083505954</v>
      </c>
      <c r="C358" s="24">
        <f t="shared" si="18"/>
        <v>-104.05624882045097</v>
      </c>
      <c r="D358" s="24">
        <f t="shared" si="19"/>
        <v>-1226.5487415379155</v>
      </c>
    </row>
    <row r="359" spans="1:4" x14ac:dyDescent="0.3">
      <c r="A359" s="14">
        <v>348</v>
      </c>
      <c r="B359" s="24">
        <f t="shared" si="17"/>
        <v>16611.665341968041</v>
      </c>
      <c r="C359" s="24">
        <f t="shared" si="18"/>
        <v>-96.901381161479819</v>
      </c>
      <c r="D359" s="24">
        <f t="shared" si="19"/>
        <v>-1233.7036091968864</v>
      </c>
    </row>
    <row r="360" spans="1:4" x14ac:dyDescent="0.3">
      <c r="A360" s="14">
        <v>349</v>
      </c>
      <c r="B360" s="24">
        <f t="shared" si="17"/>
        <v>15377.961732771155</v>
      </c>
      <c r="C360" s="24">
        <f t="shared" si="18"/>
        <v>-89.704776774497972</v>
      </c>
      <c r="D360" s="24">
        <f t="shared" si="19"/>
        <v>-1240.9002135838682</v>
      </c>
    </row>
    <row r="361" spans="1:4" x14ac:dyDescent="0.3">
      <c r="A361" s="14">
        <v>350</v>
      </c>
      <c r="B361" s="24">
        <f t="shared" si="17"/>
        <v>14137.061519187286</v>
      </c>
      <c r="C361" s="24">
        <f t="shared" si="18"/>
        <v>-82.466192195258742</v>
      </c>
      <c r="D361" s="24">
        <f t="shared" si="19"/>
        <v>-1248.1387981631076</v>
      </c>
    </row>
    <row r="362" spans="1:4" x14ac:dyDescent="0.3">
      <c r="A362" s="14">
        <v>351</v>
      </c>
      <c r="B362" s="24">
        <f t="shared" si="17"/>
        <v>12888.922721024179</v>
      </c>
      <c r="C362" s="24">
        <f t="shared" si="18"/>
        <v>-75.18538253930727</v>
      </c>
      <c r="D362" s="24">
        <f t="shared" si="19"/>
        <v>-1255.4196078190591</v>
      </c>
    </row>
    <row r="363" spans="1:4" x14ac:dyDescent="0.3">
      <c r="A363" s="14">
        <v>352</v>
      </c>
      <c r="B363" s="24">
        <f t="shared" si="17"/>
        <v>11633.503113205119</v>
      </c>
      <c r="C363" s="24">
        <f t="shared" si="18"/>
        <v>-67.862101493696102</v>
      </c>
      <c r="D363" s="24">
        <f t="shared" si="19"/>
        <v>-1262.7428888646702</v>
      </c>
    </row>
    <row r="364" spans="1:4" x14ac:dyDescent="0.3">
      <c r="A364" s="14">
        <v>353</v>
      </c>
      <c r="B364" s="24">
        <f t="shared" si="17"/>
        <v>10370.760224340449</v>
      </c>
      <c r="C364" s="24">
        <f t="shared" si="18"/>
        <v>-60.496101308652179</v>
      </c>
      <c r="D364" s="24">
        <f t="shared" si="19"/>
        <v>-1270.108889049714</v>
      </c>
    </row>
    <row r="365" spans="1:4" x14ac:dyDescent="0.3">
      <c r="A365" s="14">
        <v>354</v>
      </c>
      <c r="B365" s="24">
        <f t="shared" si="17"/>
        <v>9100.651335290735</v>
      </c>
      <c r="C365" s="24">
        <f t="shared" si="18"/>
        <v>-53.0871327891955</v>
      </c>
      <c r="D365" s="24">
        <f t="shared" si="19"/>
        <v>-1277.5178575691709</v>
      </c>
    </row>
    <row r="366" spans="1:4" x14ac:dyDescent="0.3">
      <c r="A366" s="14">
        <v>355</v>
      </c>
      <c r="B366" s="24">
        <f t="shared" si="17"/>
        <v>7823.1334777215643</v>
      </c>
      <c r="C366" s="24">
        <f t="shared" si="18"/>
        <v>-45.634945286708678</v>
      </c>
      <c r="D366" s="24">
        <f t="shared" si="19"/>
        <v>-1284.9700450716578</v>
      </c>
    </row>
    <row r="367" spans="1:4" x14ac:dyDescent="0.3">
      <c r="A367" s="14">
        <v>356</v>
      </c>
      <c r="B367" s="24">
        <f t="shared" si="17"/>
        <v>6538.1634326499061</v>
      </c>
      <c r="C367" s="24">
        <f t="shared" si="18"/>
        <v>-38.13928669045734</v>
      </c>
      <c r="D367" s="24">
        <f t="shared" si="19"/>
        <v>-1292.4657036679091</v>
      </c>
    </row>
    <row r="368" spans="1:4" x14ac:dyDescent="0.3">
      <c r="A368" s="14">
        <v>357</v>
      </c>
      <c r="B368" s="24">
        <f t="shared" si="17"/>
        <v>5245.697728981997</v>
      </c>
      <c r="C368" s="24">
        <f t="shared" si="18"/>
        <v>-30.59990341906121</v>
      </c>
      <c r="D368" s="24">
        <f t="shared" si="19"/>
        <v>-1300.0050869393053</v>
      </c>
    </row>
    <row r="369" spans="1:4" x14ac:dyDescent="0.3">
      <c r="A369" s="14">
        <v>358</v>
      </c>
      <c r="B369" s="24">
        <f>IFERROR(B368+D368,0)</f>
        <v>3945.6926420426917</v>
      </c>
      <c r="C369" s="24">
        <f t="shared" si="18"/>
        <v>-23.016540411915262</v>
      </c>
      <c r="D369" s="24">
        <f t="shared" si="19"/>
        <v>-1307.5884499464512</v>
      </c>
    </row>
    <row r="370" spans="1:4" x14ac:dyDescent="0.3">
      <c r="A370" s="14">
        <v>359</v>
      </c>
      <c r="B370" s="24">
        <f t="shared" si="17"/>
        <v>2638.1041920962407</v>
      </c>
      <c r="C370" s="24">
        <f t="shared" si="18"/>
        <v>-15.388941120560961</v>
      </c>
      <c r="D370" s="24">
        <f t="shared" si="19"/>
        <v>-1315.2160492378055</v>
      </c>
    </row>
    <row r="371" spans="1:4" x14ac:dyDescent="0.3">
      <c r="A371" s="14">
        <v>360</v>
      </c>
      <c r="B371" s="24">
        <f t="shared" si="17"/>
        <v>1322.8881428584352</v>
      </c>
      <c r="C371" s="24">
        <f t="shared" si="18"/>
        <v>-7.7168475000070975</v>
      </c>
      <c r="D371" s="24">
        <f t="shared" si="19"/>
        <v>-1322.8881428583593</v>
      </c>
    </row>
    <row r="372" spans="1:4" x14ac:dyDescent="0.3">
      <c r="A372" s="1" t="s">
        <v>48</v>
      </c>
      <c r="B372" s="24">
        <f>IFERROR(B371+D371,0)</f>
        <v>7.5942807598039508E-11</v>
      </c>
      <c r="C372" s="21">
        <f>ROUND(SUM(C12:C371),2)</f>
        <v>-279017.8</v>
      </c>
      <c r="D372" s="21">
        <f>ROUND(SUM(D12:D371),2)</f>
        <v>-200000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38521C337E304C98B20FCF07C6BA7D" ma:contentTypeVersion="4" ma:contentTypeDescription="Create a new document." ma:contentTypeScope="" ma:versionID="e54a8dbaa1f5690497a1af6baa00e574">
  <xsd:schema xmlns:xsd="http://www.w3.org/2001/XMLSchema" xmlns:xs="http://www.w3.org/2001/XMLSchema" xmlns:p="http://schemas.microsoft.com/office/2006/metadata/properties" xmlns:ns3="52073ef3-e963-427c-a197-43a7f86e45d1" targetNamespace="http://schemas.microsoft.com/office/2006/metadata/properties" ma:root="true" ma:fieldsID="0091d58883f0767deec8e05896652ab7" ns3:_="">
    <xsd:import namespace="52073ef3-e963-427c-a197-43a7f86e45d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073ef3-e963-427c-a197-43a7f86e45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205E3F7-97FE-473C-87AD-9F31BDD9B6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6C8EA9-D39F-435F-BF88-EF5CDF8E8E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073ef3-e963-427c-a197-43a7f86e45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C13C72-55CF-40CE-A98B-5E5C3E5BCDC7}">
  <ds:schemaRefs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52073ef3-e963-427c-a197-43a7f86e45d1"/>
    <ds:schemaRef ds:uri="http://purl.org/dc/dcmitype/"/>
    <ds:schemaRef ds:uri="http://purl.org/dc/terms/"/>
    <ds:schemaRef ds:uri="http://purl.org/dc/elements/1.1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CashFlow</vt:lpstr>
      <vt:lpstr>Depreciation</vt:lpstr>
      <vt:lpstr>Amortization</vt:lpstr>
      <vt:lpstr>Capital</vt:lpstr>
      <vt:lpstr>Life</vt:lpstr>
      <vt:lpstr>Salvage</vt:lpstr>
    </vt:vector>
  </TitlesOfParts>
  <Company>MOMD Inc 2024 Spring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Armstrong</dc:creator>
  <cp:lastModifiedBy>Caliana Sunez</cp:lastModifiedBy>
  <dcterms:created xsi:type="dcterms:W3CDTF">2024-02-25T12:43:47Z</dcterms:created>
  <dcterms:modified xsi:type="dcterms:W3CDTF">2024-04-18T09:15:09Z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0x0101004E38521C337E304C98B20FCF07C6BA7D</vt:lpwstr>
  </property>
</Properties>
</file>