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66925"/>
  <xr:revisionPtr revIDLastSave="0" documentId="13_ncr:1_{9EF9F810-4791-43E7-A7B2-4CFDAED12D45}" xr6:coauthVersionLast="47" xr6:coauthVersionMax="47" xr10:uidLastSave="{00000000-0000-0000-0000-000000000000}"/>
  <bookViews>
    <workbookView xWindow="11424" yWindow="0" windowWidth="11712" windowHeight="12336" xr2:uid="{03ECB482-6AD7-4407-8216-7CF5A8F30D80}"/>
  </bookViews>
  <sheets>
    <sheet name="Large Dealers" sheetId="1" r:id="rId1"/>
  </sheets>
  <definedNames>
    <definedName name="Semester">"2020 Spring"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7" i="1"/>
  <c r="L26" i="1"/>
  <c r="L25" i="1"/>
  <c r="L24" i="1"/>
  <c r="L23" i="1"/>
  <c r="L22" i="1"/>
  <c r="L21" i="1"/>
  <c r="L20" i="1"/>
  <c r="L19" i="1"/>
  <c r="L18" i="1"/>
  <c r="L17" i="1"/>
  <c r="H29" i="1"/>
  <c r="F18" i="1"/>
  <c r="F28" i="1"/>
  <c r="F27" i="1"/>
  <c r="F26" i="1"/>
  <c r="F25" i="1"/>
  <c r="F24" i="1"/>
  <c r="F23" i="1"/>
  <c r="F22" i="1"/>
  <c r="F21" i="1"/>
  <c r="F20" i="1"/>
  <c r="F19" i="1"/>
  <c r="F17" i="1"/>
  <c r="K29" i="1"/>
  <c r="J29" i="1"/>
  <c r="I29" i="1"/>
  <c r="G29" i="1"/>
  <c r="G17" i="1"/>
  <c r="G4" i="1"/>
  <c r="J19" i="1"/>
  <c r="I18" i="1"/>
  <c r="I17" i="1"/>
  <c r="G18" i="1"/>
  <c r="H18" i="1"/>
  <c r="J18" i="1"/>
  <c r="G19" i="1"/>
  <c r="K19" i="1" s="1"/>
  <c r="H19" i="1"/>
  <c r="I19" i="1"/>
  <c r="G20" i="1"/>
  <c r="H20" i="1"/>
  <c r="I20" i="1"/>
  <c r="K20" i="1" s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K28" i="1" s="1"/>
  <c r="H28" i="1"/>
  <c r="I28" i="1"/>
  <c r="J28" i="1"/>
  <c r="H17" i="1"/>
  <c r="J17" i="1"/>
  <c r="C29" i="1"/>
  <c r="D29" i="1"/>
  <c r="E29" i="1"/>
  <c r="B29" i="1"/>
  <c r="A33" i="1"/>
  <c r="A8" i="1"/>
  <c r="A7" i="1"/>
  <c r="L29" i="1" l="1"/>
  <c r="K18" i="1"/>
  <c r="K25" i="1"/>
  <c r="G30" i="1"/>
  <c r="G31" i="1"/>
  <c r="O25" i="1"/>
  <c r="N25" i="1"/>
  <c r="M25" i="1"/>
  <c r="P24" i="1"/>
  <c r="N24" i="1"/>
  <c r="J31" i="1"/>
  <c r="J30" i="1"/>
  <c r="I31" i="1"/>
  <c r="I30" i="1"/>
  <c r="M24" i="1"/>
  <c r="P23" i="1"/>
  <c r="N23" i="1"/>
  <c r="H31" i="1"/>
  <c r="H30" i="1"/>
  <c r="M23" i="1"/>
  <c r="P22" i="1"/>
  <c r="N22" i="1"/>
  <c r="M22" i="1"/>
  <c r="P21" i="1"/>
  <c r="N21" i="1"/>
  <c r="M21" i="1"/>
  <c r="O20" i="1"/>
  <c r="N20" i="1"/>
  <c r="K27" i="1"/>
  <c r="M20" i="1"/>
  <c r="N19" i="1"/>
  <c r="P19" i="1"/>
  <c r="K26" i="1"/>
  <c r="K17" i="1"/>
  <c r="M19" i="1"/>
  <c r="O18" i="1"/>
  <c r="N18" i="1"/>
  <c r="M18" i="1"/>
  <c r="N17" i="1"/>
  <c r="F29" i="1"/>
  <c r="K24" i="1"/>
  <c r="M17" i="1"/>
  <c r="N28" i="1"/>
  <c r="O28" i="1"/>
  <c r="K23" i="1"/>
  <c r="M28" i="1"/>
  <c r="P27" i="1"/>
  <c r="N27" i="1"/>
  <c r="K22" i="1"/>
  <c r="M27" i="1"/>
  <c r="P26" i="1"/>
  <c r="N26" i="1"/>
  <c r="K21" i="1"/>
  <c r="M26" i="1"/>
  <c r="O23" i="1" l="1"/>
  <c r="P20" i="1"/>
  <c r="O21" i="1"/>
  <c r="M29" i="1"/>
  <c r="O22" i="1"/>
  <c r="P25" i="1"/>
  <c r="O19" i="1"/>
  <c r="P28" i="1"/>
  <c r="O26" i="1"/>
  <c r="L31" i="1"/>
  <c r="L30" i="1"/>
  <c r="P17" i="1"/>
  <c r="P18" i="1"/>
  <c r="K31" i="1"/>
  <c r="O17" i="1"/>
  <c r="K30" i="1"/>
  <c r="M31" i="1"/>
  <c r="M30" i="1"/>
  <c r="O24" i="1"/>
  <c r="O27" i="1"/>
</calcChain>
</file>

<file path=xl/sharedStrings.xml><?xml version="1.0" encoding="utf-8"?>
<sst xmlns="http://schemas.openxmlformats.org/spreadsheetml/2006/main" count="38" uniqueCount="28">
  <si>
    <t>Manufacturer Rebates to Dealers</t>
  </si>
  <si>
    <t>1Q</t>
  </si>
  <si>
    <t>2Q</t>
  </si>
  <si>
    <t>3Q</t>
  </si>
  <si>
    <t>4Q</t>
  </si>
  <si>
    <t>Annual</t>
  </si>
  <si>
    <t>Shipping Rebate:</t>
  </si>
  <si>
    <t>n/a</t>
  </si>
  <si>
    <t>Expected volume:</t>
  </si>
  <si>
    <t>Additional Inputs:</t>
  </si>
  <si>
    <t>best in class bonus</t>
  </si>
  <si>
    <t>2nd best in class bonus</t>
  </si>
  <si>
    <t>Estimate quality: Excellent category within…</t>
  </si>
  <si>
    <t>Estimate quality: Good category within…</t>
  </si>
  <si>
    <t>Estimate quality:Poor category over…</t>
  </si>
  <si>
    <t>Quarterly Sales Volumes</t>
  </si>
  <si>
    <t>Shipping Rebate</t>
  </si>
  <si>
    <t>Dealer#</t>
  </si>
  <si>
    <t>Total annual sales volume</t>
  </si>
  <si>
    <t>Total Shipping Rebate</t>
  </si>
  <si>
    <t>Overall Sales Volume Bonus</t>
  </si>
  <si>
    <t>Best in Class Bonus</t>
  </si>
  <si>
    <t>Estimate Quality</t>
  </si>
  <si>
    <t>Received Shipping Rebates &amp; Sales Bonuses</t>
  </si>
  <si>
    <t>Overall Dealer Rating</t>
  </si>
  <si>
    <t>2019 Spring</t>
  </si>
  <si>
    <t>number receiving bonus</t>
  </si>
  <si>
    <t>average value of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</si>
</sst>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Totals&quot;;&quot;Totals&quot;;&quot;Totals&quot;;&quot;Totals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5" fillId="7" borderId="0" applyNumberFormat="0" applyBorder="0" applyAlignment="0" applyProtection="0"/>
    <xf numFmtId="0" fontId="6" fillId="8" borderId="0" applyNumberFormat="0" applyBorder="0" applyAlignment="0" applyProtection="0"/>
  </cellStyleXfs>
  <cellXfs count="39">
    <xf numFmtId="0" fontId="0" fillId="0" borderId="0" xfId="0"/>
    <xf numFmtId="0" fontId="4" fillId="0" borderId="0" xfId="1"/>
    <xf numFmtId="0" fontId="4" fillId="0" borderId="0" xfId="1" applyAlignment="1">
      <alignment wrapText="1"/>
    </xf>
    <xf numFmtId="0" fontId="4" fillId="0" borderId="0" xfId="1" applyAlignment="1">
      <alignment horizontal="center" wrapText="1"/>
    </xf>
    <xf numFmtId="165" fontId="3" fillId="0" borderId="0" xfId="1" applyNumberFormat="1" applyFont="1"/>
    <xf numFmtId="0" fontId="4" fillId="2" borderId="1" xfId="1" applyFill="1" applyBorder="1"/>
    <xf numFmtId="0" fontId="4" fillId="0" borderId="1" xfId="1" applyBorder="1" applyAlignment="1">
      <alignment horizontal="center"/>
    </xf>
    <xf numFmtId="0" fontId="4" fillId="0" borderId="0" xfId="1" applyAlignment="1">
      <alignment horizontal="center"/>
    </xf>
    <xf numFmtId="14" fontId="2" fillId="0" borderId="0" xfId="1" applyNumberFormat="1" applyFont="1"/>
    <xf numFmtId="0" fontId="1" fillId="0" borderId="1" xfId="1" applyFont="1" applyBorder="1" applyAlignment="1">
      <alignment horizontal="center"/>
    </xf>
    <xf numFmtId="164" fontId="4" fillId="0" borderId="1" xfId="1" applyNumberFormat="1" applyBorder="1"/>
    <xf numFmtId="0" fontId="4" fillId="0" borderId="1" xfId="1" applyBorder="1"/>
    <xf numFmtId="3" fontId="4" fillId="2" borderId="1" xfId="1" applyNumberFormat="1" applyFill="1" applyBorder="1"/>
    <xf numFmtId="0" fontId="4" fillId="3" borderId="1" xfId="1" applyFill="1" applyBorder="1" applyAlignment="1">
      <alignment wrapText="1"/>
    </xf>
    <xf numFmtId="10" fontId="4" fillId="3" borderId="1" xfId="1" applyNumberFormat="1" applyFill="1" applyBorder="1"/>
    <xf numFmtId="3" fontId="4" fillId="3" borderId="1" xfId="1" applyNumberFormat="1" applyFill="1" applyBorder="1"/>
    <xf numFmtId="0" fontId="4" fillId="4" borderId="1" xfId="1" applyFill="1" applyBorder="1" applyAlignment="1">
      <alignment wrapText="1"/>
    </xf>
    <xf numFmtId="0" fontId="4" fillId="4" borderId="1" xfId="1" applyFill="1" applyBorder="1"/>
    <xf numFmtId="3" fontId="4" fillId="4" borderId="1" xfId="1" applyNumberFormat="1" applyFill="1" applyBorder="1"/>
    <xf numFmtId="0" fontId="4" fillId="5" borderId="1" xfId="1" applyFill="1" applyBorder="1" applyAlignment="1">
      <alignment wrapText="1"/>
    </xf>
    <xf numFmtId="0" fontId="4" fillId="5" borderId="1" xfId="1" applyFill="1" applyBorder="1"/>
    <xf numFmtId="10" fontId="4" fillId="5" borderId="1" xfId="1" applyNumberFormat="1" applyFill="1" applyBorder="1"/>
    <xf numFmtId="0" fontId="1" fillId="0" borderId="1" xfId="1" applyFont="1" applyBorder="1" applyAlignment="1">
      <alignment horizontal="center" wrapText="1"/>
    </xf>
    <xf numFmtId="0" fontId="1" fillId="6" borderId="1" xfId="1" applyFont="1" applyFill="1" applyBorder="1" applyAlignment="1">
      <alignment horizontal="center" wrapText="1"/>
    </xf>
    <xf numFmtId="1" fontId="1" fillId="0" borderId="1" xfId="1" applyNumberFormat="1" applyFont="1" applyBorder="1" applyAlignment="1">
      <alignment horizontal="center"/>
    </xf>
    <xf numFmtId="1" fontId="4" fillId="0" borderId="1" xfId="1" applyNumberFormat="1" applyBorder="1"/>
    <xf numFmtId="1" fontId="4" fillId="0" borderId="0" xfId="1" applyNumberFormat="1"/>
    <xf numFmtId="1" fontId="1" fillId="0" borderId="1" xfId="1" applyNumberFormat="1" applyFont="1" applyBorder="1" applyAlignment="1">
      <alignment horizontal="center" wrapText="1"/>
    </xf>
    <xf numFmtId="1" fontId="1" fillId="0" borderId="0" xfId="1" applyNumberFormat="1" applyFont="1" applyAlignment="1">
      <alignment horizontal="right"/>
    </xf>
    <xf numFmtId="3" fontId="4" fillId="0" borderId="1" xfId="1" applyNumberFormat="1" applyBorder="1"/>
    <xf numFmtId="164" fontId="4" fillId="2" borderId="1" xfId="1" applyNumberFormat="1" applyFill="1" applyBorder="1"/>
    <xf numFmtId="0" fontId="6" fillId="8" borderId="1" xfId="3" applyBorder="1"/>
    <xf numFmtId="0" fontId="5" fillId="7" borderId="1" xfId="2" applyBorder="1"/>
    <xf numFmtId="3" fontId="1" fillId="0" borderId="1" xfId="1" applyNumberFormat="1" applyFont="1" applyBorder="1"/>
    <xf numFmtId="164" fontId="1" fillId="0" borderId="1" xfId="1" applyNumberFormat="1" applyFont="1" applyBorder="1"/>
    <xf numFmtId="0" fontId="4" fillId="0" borderId="0" xfId="1" applyAlignment="1">
      <alignment horizontal="center"/>
    </xf>
    <xf numFmtId="0" fontId="4" fillId="0" borderId="1" xfId="1" applyBorder="1" applyAlignment="1">
      <alignment horizontal="center" wrapText="1"/>
    </xf>
    <xf numFmtId="0" fontId="1" fillId="0" borderId="2" xfId="1" applyFont="1" applyBorder="1" applyAlignment="1">
      <alignment horizontal="center"/>
    </xf>
    <xf numFmtId="0" fontId="1" fillId="0" borderId="1" xfId="1" applyFont="1" applyBorder="1" applyAlignment="1">
      <alignment horizontal="center"/>
    </xf>
  </cellXfs>
  <cellStyles count="4">
    <cellStyle name="Bad" xfId="3" builtinId="27"/>
    <cellStyle name="Good" xfId="2" builtinId="26"/>
    <cellStyle name="Normal" xfId="0" builtinId="0"/>
    <cellStyle name="Normal#pfnQYTawpRfDCzl3QIWB5+A2K+C712aelBdJGukYC4A=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7"/>
      </font>
      <fill>
        <patternFill>
          <bgColor rgb="FFFFFF00"/>
        </patternFill>
      </fill>
    </dxf>
    <dxf>
      <font>
        <color rgb="FFC0000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FE5B-D5A2-4A48-81ED-C6E4ECFD3D10}">
  <dimension ref="A1:P33"/>
  <sheetViews>
    <sheetView tabSelected="1" zoomScale="60" zoomScaleNormal="60" workbookViewId="0">
      <selection activeCell="K8" sqref="K8"/>
    </sheetView>
  </sheetViews>
  <sheetFormatPr defaultRowHeight="14.4" x14ac:dyDescent="0.3"/>
  <cols>
    <col min="1" max="1" width="27.88671875" style="2" customWidth="1"/>
    <col min="2" max="2" width="8" style="1" bestFit="1" customWidth="1"/>
    <col min="3" max="3" width="7.109375" style="1" bestFit="1" customWidth="1"/>
    <col min="4" max="5" width="7.5546875" style="1" bestFit="1" customWidth="1"/>
    <col min="6" max="6" width="14.44140625" style="26" customWidth="1"/>
    <col min="7" max="10" width="12.109375" style="1" bestFit="1" customWidth="1"/>
    <col min="11" max="11" width="14.33203125" style="1" customWidth="1"/>
    <col min="12" max="12" width="17.33203125" style="1" customWidth="1"/>
    <col min="13" max="13" width="11.44140625" style="1" customWidth="1"/>
    <col min="14" max="14" width="11.88671875" style="1" customWidth="1"/>
    <col min="15" max="15" width="23.88671875" style="1" customWidth="1"/>
    <col min="16" max="16" width="14" style="1" customWidth="1"/>
  </cols>
  <sheetData>
    <row r="1" spans="1:16" x14ac:dyDescent="0.3">
      <c r="A1" s="35" t="s">
        <v>0</v>
      </c>
      <c r="B1" s="35"/>
      <c r="C1" s="35"/>
      <c r="D1" s="35"/>
      <c r="E1" s="35"/>
      <c r="F1" s="35"/>
      <c r="G1" s="35"/>
    </row>
    <row r="2" spans="1:16" x14ac:dyDescent="0.3">
      <c r="C2" s="9" t="s">
        <v>1</v>
      </c>
      <c r="D2" s="9" t="s">
        <v>2</v>
      </c>
      <c r="E2" s="9" t="s">
        <v>3</v>
      </c>
      <c r="F2" s="24" t="s">
        <v>4</v>
      </c>
      <c r="G2" s="9" t="s">
        <v>5</v>
      </c>
    </row>
    <row r="3" spans="1:16" x14ac:dyDescent="0.3">
      <c r="A3" s="36" t="s">
        <v>6</v>
      </c>
      <c r="B3" s="36"/>
      <c r="C3" s="10">
        <v>84</v>
      </c>
      <c r="D3" s="10">
        <v>97</v>
      </c>
      <c r="E3" s="10">
        <v>88</v>
      </c>
      <c r="F3" s="25">
        <v>141</v>
      </c>
      <c r="G3" s="11" t="s">
        <v>7</v>
      </c>
    </row>
    <row r="4" spans="1:16" x14ac:dyDescent="0.3">
      <c r="A4" s="36" t="s">
        <v>8</v>
      </c>
      <c r="B4" s="36"/>
      <c r="C4" s="11">
        <v>369</v>
      </c>
      <c r="D4" s="11">
        <v>464</v>
      </c>
      <c r="E4" s="11">
        <v>477</v>
      </c>
      <c r="F4" s="25">
        <v>385</v>
      </c>
      <c r="G4" s="12">
        <f>SUM(C4:F4)</f>
        <v>1695</v>
      </c>
    </row>
    <row r="6" spans="1:16" x14ac:dyDescent="0.3">
      <c r="A6" s="2" t="s">
        <v>9</v>
      </c>
    </row>
    <row r="7" spans="1:16" ht="28.8" x14ac:dyDescent="0.3">
      <c r="A7" s="13" t="str">
        <f>CONCATENATE("Overall Sales volume bonus equal to or over ",100*B7,"%")</f>
        <v>Overall Sales volume bonus equal to or over 7.4%</v>
      </c>
      <c r="B7" s="14">
        <v>7.3999999999999996E-2</v>
      </c>
      <c r="C7" s="15">
        <v>8450</v>
      </c>
    </row>
    <row r="8" spans="1:16" ht="28.8" x14ac:dyDescent="0.3">
      <c r="A8" s="13" t="str">
        <f>CONCATENATE("Overall Sales volume bonus if &gt;=",B8*100," and &lt; ",100*B7,"%")</f>
        <v>Overall Sales volume bonus if &gt;=2.5 and &lt; 7.4%</v>
      </c>
      <c r="B8" s="14">
        <v>2.4999999999999998E-2</v>
      </c>
      <c r="C8" s="15">
        <v>4625</v>
      </c>
    </row>
    <row r="9" spans="1:16" x14ac:dyDescent="0.3">
      <c r="A9" s="16" t="s">
        <v>10</v>
      </c>
      <c r="B9" s="17"/>
      <c r="C9" s="18">
        <v>7600</v>
      </c>
    </row>
    <row r="10" spans="1:16" x14ac:dyDescent="0.3">
      <c r="A10" s="16" t="s">
        <v>11</v>
      </c>
      <c r="B10" s="17"/>
      <c r="C10" s="18">
        <v>3400</v>
      </c>
    </row>
    <row r="11" spans="1:16" ht="28.8" x14ac:dyDescent="0.3">
      <c r="A11" s="19" t="s">
        <v>12</v>
      </c>
      <c r="B11" s="20"/>
      <c r="C11" s="21">
        <v>3.15E-2</v>
      </c>
    </row>
    <row r="12" spans="1:16" ht="28.8" x14ac:dyDescent="0.3">
      <c r="A12" s="19" t="s">
        <v>13</v>
      </c>
      <c r="B12" s="20"/>
      <c r="C12" s="21">
        <v>8.4500000000000006E-2</v>
      </c>
    </row>
    <row r="13" spans="1:16" ht="28.8" x14ac:dyDescent="0.3">
      <c r="A13" s="19" t="s">
        <v>14</v>
      </c>
      <c r="B13" s="20"/>
      <c r="C13" s="21">
        <v>8.4500000000000006E-2</v>
      </c>
    </row>
    <row r="15" spans="1:16" x14ac:dyDescent="0.3">
      <c r="B15" s="37" t="s">
        <v>15</v>
      </c>
      <c r="C15" s="37"/>
      <c r="D15" s="37"/>
      <c r="E15" s="37"/>
      <c r="G15" s="38" t="s">
        <v>16</v>
      </c>
      <c r="H15" s="38"/>
      <c r="I15" s="38"/>
      <c r="J15" s="38"/>
      <c r="K15" s="38"/>
    </row>
    <row r="16" spans="1:16" s="3" customFormat="1" ht="28.8" x14ac:dyDescent="0.3">
      <c r="A16" s="22" t="s">
        <v>17</v>
      </c>
      <c r="B16" s="22" t="s">
        <v>1</v>
      </c>
      <c r="C16" s="22" t="s">
        <v>2</v>
      </c>
      <c r="D16" s="22" t="s">
        <v>3</v>
      </c>
      <c r="E16" s="22" t="s">
        <v>4</v>
      </c>
      <c r="F16" s="27" t="s">
        <v>18</v>
      </c>
      <c r="G16" s="22" t="s">
        <v>1</v>
      </c>
      <c r="H16" s="22" t="s">
        <v>2</v>
      </c>
      <c r="I16" s="22" t="s">
        <v>3</v>
      </c>
      <c r="J16" s="22" t="s">
        <v>4</v>
      </c>
      <c r="K16" s="22" t="s">
        <v>19</v>
      </c>
      <c r="L16" s="22" t="s">
        <v>20</v>
      </c>
      <c r="M16" s="22" t="s">
        <v>21</v>
      </c>
      <c r="N16" s="22" t="s">
        <v>22</v>
      </c>
      <c r="O16" s="22" t="s">
        <v>23</v>
      </c>
      <c r="P16" s="22" t="s">
        <v>24</v>
      </c>
    </row>
    <row r="17" spans="1:16" x14ac:dyDescent="0.3">
      <c r="A17" s="23">
        <v>3258</v>
      </c>
      <c r="B17" s="29">
        <v>367</v>
      </c>
      <c r="C17" s="29">
        <v>479</v>
      </c>
      <c r="D17" s="29">
        <v>471</v>
      </c>
      <c r="E17" s="29">
        <v>409</v>
      </c>
      <c r="F17" s="29">
        <f>SUM(B17:E17)</f>
        <v>1726</v>
      </c>
      <c r="G17" s="10">
        <f>IF(B17&gt;=C$4,C$3*B17,0)</f>
        <v>0</v>
      </c>
      <c r="H17" s="10">
        <f t="shared" ref="H17:J17" si="0">IF(C17&gt;=D$4,D$3*C17,0)</f>
        <v>46463</v>
      </c>
      <c r="I17" s="10">
        <f>IF(D17&gt;=E$4,E$3*D17,0)</f>
        <v>0</v>
      </c>
      <c r="J17" s="10">
        <f t="shared" si="0"/>
        <v>57669</v>
      </c>
      <c r="K17" s="10">
        <f>SUM(G17:J17)</f>
        <v>104132</v>
      </c>
      <c r="L17" s="10">
        <f>IF(F17&gt;=(1+B$7)*G$4,C$7,IF(F17&gt;=G$4*(1+B$8),C$8,0))</f>
        <v>0</v>
      </c>
      <c r="M17" s="10">
        <f>IF(F17=LARGE(F$17:F$28,1),C$9,IF(F17=LARGE(F$17:F$28,2),C$10,0))</f>
        <v>0</v>
      </c>
      <c r="N17" s="11" t="str">
        <f>IF(AND(F17&gt;=G$4-(G$4*C$11),F17&lt;=G$4+(G$4*C$11)),"Excellent",IF(AND(F17&gt;=G$4-(G$4*C$12),F17&lt;=G$4+(G$4*C$12)),"Good","Poor"))</f>
        <v>Excellent</v>
      </c>
      <c r="O17" s="11" t="b">
        <f>AND(K17&gt;0,L17&gt;0)</f>
        <v>0</v>
      </c>
      <c r="P17" s="31" t="str">
        <f>IF(AND(COUNTIF(G17:J17,"&gt;0")&gt;=3,L17&gt;0),"Excellent",IF(OR(COUNTIF(G17:J17,"&gt;0")&gt;=1,L17&gt;0),"Good","Poor"))</f>
        <v>Good</v>
      </c>
    </row>
    <row r="18" spans="1:16" x14ac:dyDescent="0.3">
      <c r="A18" s="23">
        <v>3259</v>
      </c>
      <c r="B18" s="29">
        <v>347</v>
      </c>
      <c r="C18" s="29">
        <v>446</v>
      </c>
      <c r="D18" s="29">
        <v>430</v>
      </c>
      <c r="E18" s="29">
        <v>275</v>
      </c>
      <c r="F18" s="29">
        <f>SUM(B18:E18)</f>
        <v>1498</v>
      </c>
      <c r="G18" s="29">
        <f t="shared" ref="G18:G28" si="1">IF(B18&gt;=C$4,C$3*B18,0)</f>
        <v>0</v>
      </c>
      <c r="H18" s="29">
        <f t="shared" ref="H18:H28" si="2">IF(C18&gt;=D$4,D$3*C18,0)</f>
        <v>0</v>
      </c>
      <c r="I18" s="29">
        <f>IF(D18&gt;=E$4,E$3*D18,0)</f>
        <v>0</v>
      </c>
      <c r="J18" s="29">
        <f t="shared" ref="J18:J28" si="3">IF(E18&gt;=F$4,F$3*E18,0)</f>
        <v>0</v>
      </c>
      <c r="K18" s="29">
        <f t="shared" ref="K18:K28" si="4">SUM(G18:J18)</f>
        <v>0</v>
      </c>
      <c r="L18" s="29">
        <f t="shared" ref="L18:L28" si="5">IF(F18&gt;=(1+B$7)*G$4,C$7,IF(F18&gt;=G$4*(1+B$8),C$8,0))</f>
        <v>0</v>
      </c>
      <c r="M18" s="29">
        <f t="shared" ref="M18:M28" si="6">IF(F18=LARGE(F$17:F$28,1),C$9,IF(F18=LARGE(F$17:F$28,2),C$10,0))</f>
        <v>0</v>
      </c>
      <c r="N18" s="11" t="str">
        <f t="shared" ref="N18:N28" si="7">IF(AND(F18&gt;=G$4-(G$4*C$11),F18&lt;=G$4+(G$4*C$11)),"Excellent",IF(AND(F18&gt;=G$4-(G$4*C$12),F18&lt;=G$4+(G$4*C$12)),"Good","Poor"))</f>
        <v>Poor</v>
      </c>
      <c r="O18" s="11" t="b">
        <f t="shared" ref="O18:O28" si="8">AND(K18&gt;0,L18&gt;0)</f>
        <v>0</v>
      </c>
      <c r="P18" s="32" t="str">
        <f t="shared" ref="P18:P29" si="9">IF(AND(COUNTIF(G18:J18,"&gt;0")&gt;=3,L18&gt;0),"Excellent",IF(OR(COUNTIF(G18:J18,"&gt;0")&gt;=1,L18&gt;0),"Good","Poor"))</f>
        <v>Poor</v>
      </c>
    </row>
    <row r="19" spans="1:16" x14ac:dyDescent="0.3">
      <c r="A19" s="23">
        <v>3260</v>
      </c>
      <c r="B19" s="29">
        <v>382</v>
      </c>
      <c r="C19" s="29">
        <v>512</v>
      </c>
      <c r="D19" s="29">
        <v>492</v>
      </c>
      <c r="E19" s="29">
        <v>412</v>
      </c>
      <c r="F19" s="29">
        <f t="shared" ref="F19:F28" si="10">SUM(B19:E19)</f>
        <v>1798</v>
      </c>
      <c r="G19" s="29">
        <f t="shared" si="1"/>
        <v>32088</v>
      </c>
      <c r="H19" s="29">
        <f t="shared" si="2"/>
        <v>49664</v>
      </c>
      <c r="I19" s="29">
        <f t="shared" ref="I19:I28" si="11">IF(D19&gt;=E$4,E$3*D19,0)</f>
        <v>43296</v>
      </c>
      <c r="J19" s="29">
        <f>IF(E19&gt;=F$4,F$3*E19,0)</f>
        <v>58092</v>
      </c>
      <c r="K19" s="29">
        <f t="shared" si="4"/>
        <v>183140</v>
      </c>
      <c r="L19" s="29">
        <f t="shared" si="5"/>
        <v>4625</v>
      </c>
      <c r="M19" s="29">
        <f t="shared" si="6"/>
        <v>3400</v>
      </c>
      <c r="N19" s="11" t="str">
        <f t="shared" si="7"/>
        <v>Good</v>
      </c>
      <c r="O19" s="11" t="b">
        <f t="shared" si="8"/>
        <v>1</v>
      </c>
      <c r="P19" s="31" t="str">
        <f t="shared" si="9"/>
        <v>Excellent</v>
      </c>
    </row>
    <row r="20" spans="1:16" x14ac:dyDescent="0.3">
      <c r="A20" s="23">
        <v>3261</v>
      </c>
      <c r="B20" s="29">
        <v>353</v>
      </c>
      <c r="C20" s="29">
        <v>371</v>
      </c>
      <c r="D20" s="29">
        <v>326</v>
      </c>
      <c r="E20" s="29">
        <v>189</v>
      </c>
      <c r="F20" s="29">
        <f t="shared" si="10"/>
        <v>1239</v>
      </c>
      <c r="G20" s="29">
        <f t="shared" si="1"/>
        <v>0</v>
      </c>
      <c r="H20" s="29">
        <f t="shared" si="2"/>
        <v>0</v>
      </c>
      <c r="I20" s="29">
        <f t="shared" si="11"/>
        <v>0</v>
      </c>
      <c r="J20" s="29">
        <f t="shared" si="3"/>
        <v>0</v>
      </c>
      <c r="K20" s="29">
        <f t="shared" si="4"/>
        <v>0</v>
      </c>
      <c r="L20" s="29">
        <f t="shared" si="5"/>
        <v>0</v>
      </c>
      <c r="M20" s="29">
        <f t="shared" si="6"/>
        <v>0</v>
      </c>
      <c r="N20" s="11" t="str">
        <f t="shared" si="7"/>
        <v>Poor</v>
      </c>
      <c r="O20" s="11" t="b">
        <f t="shared" si="8"/>
        <v>0</v>
      </c>
      <c r="P20" s="31" t="str">
        <f>IF(AND(COUNTIF(G20:J20,"&gt;0")&gt;=3,L20&gt;0),"Excellent",IF(OR(COUNTIF(G20:J20,"&gt;0")&gt;=1,L20&gt;0),"Good","Poor"))</f>
        <v>Poor</v>
      </c>
    </row>
    <row r="21" spans="1:16" x14ac:dyDescent="0.3">
      <c r="A21" s="23">
        <v>3262</v>
      </c>
      <c r="B21" s="29">
        <v>568</v>
      </c>
      <c r="C21" s="29">
        <v>281</v>
      </c>
      <c r="D21" s="29">
        <v>266</v>
      </c>
      <c r="E21" s="29">
        <v>243</v>
      </c>
      <c r="F21" s="29">
        <f t="shared" si="10"/>
        <v>1358</v>
      </c>
      <c r="G21" s="29">
        <f t="shared" si="1"/>
        <v>47712</v>
      </c>
      <c r="H21" s="29">
        <f t="shared" si="2"/>
        <v>0</v>
      </c>
      <c r="I21" s="29">
        <f t="shared" si="11"/>
        <v>0</v>
      </c>
      <c r="J21" s="29">
        <f t="shared" si="3"/>
        <v>0</v>
      </c>
      <c r="K21" s="29">
        <f t="shared" si="4"/>
        <v>47712</v>
      </c>
      <c r="L21" s="29">
        <f t="shared" si="5"/>
        <v>0</v>
      </c>
      <c r="M21" s="29">
        <f t="shared" si="6"/>
        <v>0</v>
      </c>
      <c r="N21" s="11" t="str">
        <f t="shared" si="7"/>
        <v>Poor</v>
      </c>
      <c r="O21" s="11" t="b">
        <f t="shared" si="8"/>
        <v>0</v>
      </c>
      <c r="P21" s="31" t="str">
        <f t="shared" si="9"/>
        <v>Good</v>
      </c>
    </row>
    <row r="22" spans="1:16" x14ac:dyDescent="0.3">
      <c r="A22" s="23">
        <v>3263</v>
      </c>
      <c r="B22" s="29">
        <v>343</v>
      </c>
      <c r="C22" s="29">
        <v>528</v>
      </c>
      <c r="D22" s="29">
        <v>516</v>
      </c>
      <c r="E22" s="29">
        <v>546</v>
      </c>
      <c r="F22" s="29">
        <f t="shared" si="10"/>
        <v>1933</v>
      </c>
      <c r="G22" s="29">
        <f t="shared" si="1"/>
        <v>0</v>
      </c>
      <c r="H22" s="29">
        <f t="shared" si="2"/>
        <v>51216</v>
      </c>
      <c r="I22" s="29">
        <f t="shared" si="11"/>
        <v>45408</v>
      </c>
      <c r="J22" s="29">
        <f t="shared" si="3"/>
        <v>76986</v>
      </c>
      <c r="K22" s="29">
        <f t="shared" si="4"/>
        <v>173610</v>
      </c>
      <c r="L22" s="29">
        <f t="shared" si="5"/>
        <v>8450</v>
      </c>
      <c r="M22" s="29">
        <f t="shared" si="6"/>
        <v>7600</v>
      </c>
      <c r="N22" s="11" t="str">
        <f t="shared" si="7"/>
        <v>Poor</v>
      </c>
      <c r="O22" s="11" t="b">
        <f>AND(K22&gt;0,L22&gt;0)</f>
        <v>1</v>
      </c>
      <c r="P22" s="31" t="str">
        <f t="shared" si="9"/>
        <v>Excellent</v>
      </c>
    </row>
    <row r="23" spans="1:16" x14ac:dyDescent="0.3">
      <c r="A23" s="23">
        <v>3264</v>
      </c>
      <c r="B23" s="29">
        <v>415</v>
      </c>
      <c r="C23" s="29">
        <v>242</v>
      </c>
      <c r="D23" s="29">
        <v>134</v>
      </c>
      <c r="E23" s="29">
        <v>397</v>
      </c>
      <c r="F23" s="29">
        <f t="shared" si="10"/>
        <v>1188</v>
      </c>
      <c r="G23" s="29">
        <f t="shared" si="1"/>
        <v>34860</v>
      </c>
      <c r="H23" s="29">
        <f t="shared" si="2"/>
        <v>0</v>
      </c>
      <c r="I23" s="29">
        <f t="shared" si="11"/>
        <v>0</v>
      </c>
      <c r="J23" s="29">
        <f t="shared" si="3"/>
        <v>55977</v>
      </c>
      <c r="K23" s="29">
        <f t="shared" si="4"/>
        <v>90837</v>
      </c>
      <c r="L23" s="29">
        <f t="shared" si="5"/>
        <v>0</v>
      </c>
      <c r="M23" s="29">
        <f t="shared" si="6"/>
        <v>0</v>
      </c>
      <c r="N23" s="11" t="str">
        <f t="shared" si="7"/>
        <v>Poor</v>
      </c>
      <c r="O23" s="11" t="b">
        <f t="shared" si="8"/>
        <v>0</v>
      </c>
      <c r="P23" s="31" t="str">
        <f>IF(AND(COUNTIF(G23:J23,"&gt;0")&gt;=3,L23&gt;0),"Excellent",IF(OR(COUNTIF(G23:J23,"&gt;0")&gt;=1,L23&gt;0),"Good","Poor"))</f>
        <v>Good</v>
      </c>
    </row>
    <row r="24" spans="1:16" x14ac:dyDescent="0.3">
      <c r="A24" s="23">
        <v>3265</v>
      </c>
      <c r="B24" s="29">
        <v>242</v>
      </c>
      <c r="C24" s="29">
        <v>438</v>
      </c>
      <c r="D24" s="29">
        <v>215</v>
      </c>
      <c r="E24" s="29">
        <v>441</v>
      </c>
      <c r="F24" s="29">
        <f t="shared" si="10"/>
        <v>1336</v>
      </c>
      <c r="G24" s="29">
        <f t="shared" si="1"/>
        <v>0</v>
      </c>
      <c r="H24" s="29">
        <f t="shared" si="2"/>
        <v>0</v>
      </c>
      <c r="I24" s="29">
        <f t="shared" si="11"/>
        <v>0</v>
      </c>
      <c r="J24" s="29">
        <f t="shared" si="3"/>
        <v>62181</v>
      </c>
      <c r="K24" s="29">
        <f t="shared" si="4"/>
        <v>62181</v>
      </c>
      <c r="L24" s="29">
        <f t="shared" si="5"/>
        <v>0</v>
      </c>
      <c r="M24" s="29">
        <f t="shared" si="6"/>
        <v>0</v>
      </c>
      <c r="N24" s="11" t="str">
        <f t="shared" si="7"/>
        <v>Poor</v>
      </c>
      <c r="O24" s="11" t="b">
        <f t="shared" si="8"/>
        <v>0</v>
      </c>
      <c r="P24" s="31" t="str">
        <f t="shared" si="9"/>
        <v>Good</v>
      </c>
    </row>
    <row r="25" spans="1:16" x14ac:dyDescent="0.3">
      <c r="A25" s="23">
        <v>3266</v>
      </c>
      <c r="B25" s="29">
        <v>362</v>
      </c>
      <c r="C25" s="29">
        <v>389</v>
      </c>
      <c r="D25" s="29">
        <v>527</v>
      </c>
      <c r="E25" s="29">
        <v>458</v>
      </c>
      <c r="F25" s="29">
        <f t="shared" si="10"/>
        <v>1736</v>
      </c>
      <c r="G25" s="29">
        <f t="shared" si="1"/>
        <v>0</v>
      </c>
      <c r="H25" s="29">
        <f t="shared" si="2"/>
        <v>0</v>
      </c>
      <c r="I25" s="29">
        <f t="shared" si="11"/>
        <v>46376</v>
      </c>
      <c r="J25" s="29">
        <f t="shared" si="3"/>
        <v>64578</v>
      </c>
      <c r="K25" s="29">
        <f t="shared" si="4"/>
        <v>110954</v>
      </c>
      <c r="L25" s="29">
        <f t="shared" si="5"/>
        <v>0</v>
      </c>
      <c r="M25" s="29">
        <f t="shared" si="6"/>
        <v>0</v>
      </c>
      <c r="N25" s="11" t="str">
        <f t="shared" si="7"/>
        <v>Excellent</v>
      </c>
      <c r="O25" s="11" t="b">
        <f t="shared" si="8"/>
        <v>0</v>
      </c>
      <c r="P25" s="31" t="str">
        <f t="shared" si="9"/>
        <v>Good</v>
      </c>
    </row>
    <row r="26" spans="1:16" x14ac:dyDescent="0.3">
      <c r="A26" s="23">
        <v>3267</v>
      </c>
      <c r="B26" s="29">
        <v>531</v>
      </c>
      <c r="C26" s="29">
        <v>382</v>
      </c>
      <c r="D26" s="29">
        <v>259</v>
      </c>
      <c r="E26" s="29">
        <v>422</v>
      </c>
      <c r="F26" s="29">
        <f t="shared" si="10"/>
        <v>1594</v>
      </c>
      <c r="G26" s="29">
        <f t="shared" si="1"/>
        <v>44604</v>
      </c>
      <c r="H26" s="29">
        <f t="shared" si="2"/>
        <v>0</v>
      </c>
      <c r="I26" s="29">
        <f t="shared" si="11"/>
        <v>0</v>
      </c>
      <c r="J26" s="29">
        <f t="shared" si="3"/>
        <v>59502</v>
      </c>
      <c r="K26" s="29">
        <f t="shared" si="4"/>
        <v>104106</v>
      </c>
      <c r="L26" s="29">
        <f t="shared" si="5"/>
        <v>0</v>
      </c>
      <c r="M26" s="29">
        <f t="shared" si="6"/>
        <v>0</v>
      </c>
      <c r="N26" s="11" t="str">
        <f t="shared" si="7"/>
        <v>Good</v>
      </c>
      <c r="O26" s="11" t="b">
        <f t="shared" si="8"/>
        <v>0</v>
      </c>
      <c r="P26" s="31" t="str">
        <f t="shared" si="9"/>
        <v>Good</v>
      </c>
    </row>
    <row r="27" spans="1:16" x14ac:dyDescent="0.3">
      <c r="A27" s="23">
        <v>3268</v>
      </c>
      <c r="B27" s="29">
        <v>302</v>
      </c>
      <c r="C27" s="29">
        <v>371</v>
      </c>
      <c r="D27" s="29">
        <v>329</v>
      </c>
      <c r="E27" s="29">
        <v>323</v>
      </c>
      <c r="F27" s="29">
        <f t="shared" si="10"/>
        <v>1325</v>
      </c>
      <c r="G27" s="29">
        <f t="shared" si="1"/>
        <v>0</v>
      </c>
      <c r="H27" s="29">
        <f t="shared" si="2"/>
        <v>0</v>
      </c>
      <c r="I27" s="29">
        <f t="shared" si="11"/>
        <v>0</v>
      </c>
      <c r="J27" s="29">
        <f t="shared" si="3"/>
        <v>0</v>
      </c>
      <c r="K27" s="29">
        <f t="shared" si="4"/>
        <v>0</v>
      </c>
      <c r="L27" s="29">
        <f t="shared" si="5"/>
        <v>0</v>
      </c>
      <c r="M27" s="29">
        <f t="shared" si="6"/>
        <v>0</v>
      </c>
      <c r="N27" s="11" t="str">
        <f t="shared" si="7"/>
        <v>Poor</v>
      </c>
      <c r="O27" s="11" t="b">
        <f t="shared" si="8"/>
        <v>0</v>
      </c>
      <c r="P27" s="31" t="str">
        <f t="shared" si="9"/>
        <v>Poor</v>
      </c>
    </row>
    <row r="28" spans="1:16" x14ac:dyDescent="0.3">
      <c r="A28" s="23">
        <v>3269</v>
      </c>
      <c r="B28" s="29">
        <v>364</v>
      </c>
      <c r="C28" s="29">
        <v>478</v>
      </c>
      <c r="D28" s="29">
        <v>491</v>
      </c>
      <c r="E28" s="29">
        <v>408</v>
      </c>
      <c r="F28" s="29">
        <f t="shared" si="10"/>
        <v>1741</v>
      </c>
      <c r="G28" s="29">
        <f t="shared" si="1"/>
        <v>0</v>
      </c>
      <c r="H28" s="29">
        <f t="shared" si="2"/>
        <v>46366</v>
      </c>
      <c r="I28" s="29">
        <f t="shared" si="11"/>
        <v>43208</v>
      </c>
      <c r="J28" s="29">
        <f t="shared" si="3"/>
        <v>57528</v>
      </c>
      <c r="K28" s="29">
        <f t="shared" si="4"/>
        <v>147102</v>
      </c>
      <c r="L28" s="29">
        <f t="shared" si="5"/>
        <v>4625</v>
      </c>
      <c r="M28" s="29">
        <f t="shared" si="6"/>
        <v>0</v>
      </c>
      <c r="N28" s="11" t="str">
        <f t="shared" si="7"/>
        <v>Excellent</v>
      </c>
      <c r="O28" s="11" t="b">
        <f t="shared" si="8"/>
        <v>1</v>
      </c>
      <c r="P28" s="31" t="str">
        <f t="shared" si="9"/>
        <v>Excellent</v>
      </c>
    </row>
    <row r="29" spans="1:16" x14ac:dyDescent="0.3">
      <c r="A29" s="4" t="s">
        <v>25</v>
      </c>
      <c r="B29" s="33">
        <f>SUM(B17:B28)</f>
        <v>4576</v>
      </c>
      <c r="C29" s="33">
        <f>SUM(C17:C28)</f>
        <v>4917</v>
      </c>
      <c r="D29" s="33">
        <f t="shared" ref="D29:E29" si="12">SUM(D17:D28)</f>
        <v>4456</v>
      </c>
      <c r="E29" s="33">
        <f t="shared" si="12"/>
        <v>4523</v>
      </c>
      <c r="F29" s="33">
        <f>SUM(F17:F28)</f>
        <v>18472</v>
      </c>
      <c r="G29" s="34">
        <f>SUM(G17:G28)</f>
        <v>159264</v>
      </c>
      <c r="H29" s="34">
        <f>SUM(H17:H28)</f>
        <v>193709</v>
      </c>
      <c r="I29" s="34">
        <f t="shared" ref="I29:J29" si="13">SUM(I17:I28)</f>
        <v>178288</v>
      </c>
      <c r="J29" s="34">
        <f t="shared" si="13"/>
        <v>492513</v>
      </c>
      <c r="K29" s="34">
        <f>SUM(K17:K28)</f>
        <v>1023774</v>
      </c>
      <c r="L29" s="34">
        <f>SUM(L17:L28)</f>
        <v>17700</v>
      </c>
      <c r="M29" s="34">
        <f>SUM(M17:M28)</f>
        <v>11000</v>
      </c>
      <c r="N29" s="11"/>
      <c r="O29" s="11"/>
      <c r="P29" s="11"/>
    </row>
    <row r="30" spans="1:16" x14ac:dyDescent="0.3">
      <c r="A30" s="1"/>
      <c r="F30" s="28" t="s">
        <v>26</v>
      </c>
      <c r="G30" s="5">
        <f>COUNTIF(G17:G28,"&gt;0")</f>
        <v>4</v>
      </c>
      <c r="H30" s="5">
        <f t="shared" ref="H30:M30" si="14">COUNTIF(H17:H28,"&gt;0")</f>
        <v>4</v>
      </c>
      <c r="I30" s="5">
        <f t="shared" si="14"/>
        <v>4</v>
      </c>
      <c r="J30" s="5">
        <f t="shared" si="14"/>
        <v>8</v>
      </c>
      <c r="K30" s="5">
        <f t="shared" si="14"/>
        <v>9</v>
      </c>
      <c r="L30" s="5">
        <f t="shared" si="14"/>
        <v>3</v>
      </c>
      <c r="M30" s="5">
        <f t="shared" si="14"/>
        <v>2</v>
      </c>
      <c r="N30" s="6" t="s">
        <v>7</v>
      </c>
    </row>
    <row r="31" spans="1:16" x14ac:dyDescent="0.3">
      <c r="A31" s="1"/>
      <c r="F31" s="28" t="s">
        <v>27</v>
      </c>
      <c r="G31" s="30">
        <f>AVERAGE(G17:G28)</f>
        <v>13272</v>
      </c>
      <c r="H31" s="30">
        <f>AVERAGE(H17:H28)</f>
        <v>16142.416666666666</v>
      </c>
      <c r="I31" s="30">
        <f t="shared" ref="I31:M31" si="15">AVERAGE(I17:I28)</f>
        <v>14857.333333333334</v>
      </c>
      <c r="J31" s="30">
        <f t="shared" si="15"/>
        <v>41042.75</v>
      </c>
      <c r="K31" s="30">
        <f t="shared" si="15"/>
        <v>85314.5</v>
      </c>
      <c r="L31" s="30">
        <f t="shared" si="15"/>
        <v>1475</v>
      </c>
      <c r="M31" s="30">
        <f t="shared" si="15"/>
        <v>916.66666666666663</v>
      </c>
      <c r="N31" s="7" t="s">
        <v>7</v>
      </c>
    </row>
    <row r="32" spans="1:16" x14ac:dyDescent="0.3">
      <c r="A32" s="8">
        <v>43852</v>
      </c>
    </row>
    <row r="33" spans="1:1" x14ac:dyDescent="0.3">
      <c r="A33" s="8" t="str">
        <f>Semester</f>
        <v>2020 Spring</v>
      </c>
    </row>
  </sheetData>
  <mergeCells count="5">
    <mergeCell ref="A1:G1"/>
    <mergeCell ref="A3:B3"/>
    <mergeCell ref="A4:B4"/>
    <mergeCell ref="B15:E15"/>
    <mergeCell ref="G15:K15"/>
  </mergeCells>
  <conditionalFormatting sqref="B17:E28">
    <cfRule type="expression" dxfId="7" priority="1">
      <formula>B17&gt;=C$4</formula>
    </cfRule>
  </conditionalFormatting>
  <conditionalFormatting sqref="P17:P28">
    <cfRule type="cellIs" dxfId="6" priority="2" operator="equal">
      <formula>"Excellent"</formula>
    </cfRule>
    <cfRule type="cellIs" dxfId="5" priority="3" operator="equal">
      <formula>"Good"</formula>
    </cfRule>
    <cfRule type="cellIs" dxfId="4" priority="4" operator="equal">
      <formula>"Poor"</formula>
    </cfRule>
    <cfRule type="cellIs" dxfId="3" priority="8" operator="equal">
      <formula>"Poor"</formula>
    </cfRule>
    <cfRule type="cellIs" dxfId="2" priority="9" operator="equal">
      <formula>"Good"</formula>
    </cfRule>
    <cfRule type="cellIs" dxfId="1" priority="10" operator="equal">
      <formula>"Excellent"</formula>
    </cfRule>
  </conditionalFormatting>
  <conditionalFormatting sqref="P18">
    <cfRule type="cellIs" dxfId="0" priority="5" operator="equal">
      <formula>"""Poor"""</formula>
    </cfRule>
  </conditionalFormatting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enna xmlns="http://customxml.org">
  <kers>zvn1CaKzz9fXaiUdZ8uMjzew+2G+806KSRhyZNAatUs=</kers>
  <massa>2/10/2024 8:21:41 PM</massa>
  <hamilton>true</hamilton>
</senn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8521C337E304C98B20FCF07C6BA7D" ma:contentTypeVersion="4" ma:contentTypeDescription="Create a new document." ma:contentTypeScope="" ma:versionID="e54a8dbaa1f5690497a1af6baa00e574">
  <xsd:schema xmlns:xsd="http://www.w3.org/2001/XMLSchema" xmlns:xs="http://www.w3.org/2001/XMLSchema" xmlns:p="http://schemas.microsoft.com/office/2006/metadata/properties" xmlns:ns3="52073ef3-e963-427c-a197-43a7f86e45d1" targetNamespace="http://schemas.microsoft.com/office/2006/metadata/properties" ma:root="true" ma:fieldsID="0091d58883f0767deec8e05896652ab7" ns3:_="">
    <xsd:import namespace="52073ef3-e963-427c-a197-43a7f86e45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3ef3-e963-427c-a197-43a7f86e4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595FA-34B9-4049-9A66-9E4A9E586F8D}">
  <ds:schemaRefs>
    <ds:schemaRef ds:uri="http://customxml.org"/>
  </ds:schemaRefs>
</ds:datastoreItem>
</file>

<file path=customXml/itemProps2.xml><?xml version="1.0" encoding="utf-8"?>
<ds:datastoreItem xmlns:ds="http://schemas.openxmlformats.org/officeDocument/2006/customXml" ds:itemID="{5A068192-B23D-4F82-9151-7994D1EC9BB7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2073ef3-e963-427c-a197-43a7f86e45d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7BE9D4-2AD3-41C2-92D8-5BB20A0668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19DF704-967D-4CC5-96AC-FC30A3F80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3ef3-e963-427c-a197-43a7f86e4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Dealers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2020-07-01T19:02:30Z</dcterms:created>
  <dcterms:modified xsi:type="dcterms:W3CDTF">2024-02-14T01:52:22Z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0x0101004E38521C337E304C98B20FCF07C6BA7D</vt:lpwstr>
  </property>
</Properties>
</file>