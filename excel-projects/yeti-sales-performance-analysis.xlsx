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filterPrivacy="1" defaultThemeVersion="166925"/>
  <xr:revisionPtr revIDLastSave="0" documentId="8_{286C2F21-93F7-4E86-940F-E73EACE82868}" xr6:coauthVersionLast="47" xr6:coauthVersionMax="47" xr10:uidLastSave="{00000000-0000-0000-0000-000000000000}"/>
  <bookViews>
    <workbookView xWindow="8832" yWindow="0" windowWidth="14304" windowHeight="12336" xr2:uid="{E81C487E-8ABA-4F54-BB13-6014B4AC905A}"/>
  </bookViews>
  <sheets>
    <sheet name="Yeti Sales" sheetId="1" r:id="rId1"/>
    <sheet name="Statistics" sheetId="2" r:id="rId2"/>
  </sheets>
  <definedNames>
    <definedName name="DayOfWeek">'Yeti Sales'!$C$2:$C$91</definedName>
    <definedName name="Quarter1">'Yeti Sales'!$A$2:$A$91</definedName>
    <definedName name="Sales">'Yeti Sales'!$B$2:$B$91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27" i="2"/>
  <c r="B25" i="2" a="1"/>
  <c r="B25" i="2" s="1"/>
  <c r="C18" i="2"/>
  <c r="C19" i="2"/>
  <c r="C20" i="2"/>
  <c r="C21" i="2"/>
  <c r="C17" i="2"/>
  <c r="B18" i="2"/>
  <c r="B19" i="2"/>
  <c r="B20" i="2"/>
  <c r="B21" i="2"/>
  <c r="B17" i="2"/>
  <c r="D12" i="2"/>
  <c r="D11" i="2"/>
  <c r="D10" i="2"/>
  <c r="D9" i="2"/>
  <c r="D8" i="2"/>
  <c r="D7" i="2"/>
  <c r="D6" i="2"/>
  <c r="C7" i="2"/>
  <c r="C8" i="2"/>
  <c r="C9" i="2"/>
  <c r="C10" i="2"/>
  <c r="C11" i="2"/>
  <c r="C12" i="2"/>
  <c r="C6" i="2"/>
  <c r="B7" i="2"/>
  <c r="B8" i="2"/>
  <c r="B9" i="2"/>
  <c r="B10" i="2"/>
  <c r="B11" i="2"/>
  <c r="B12" i="2"/>
  <c r="B6" i="2"/>
  <c r="A2" i="2"/>
  <c r="E2" i="2"/>
  <c r="D2" i="2"/>
  <c r="C2" i="2"/>
  <c r="B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3" i="1"/>
  <c r="C4" i="1"/>
  <c r="C5" i="1"/>
  <c r="C6" i="1"/>
  <c r="C7" i="1"/>
  <c r="C8" i="1"/>
  <c r="C9" i="1"/>
  <c r="C10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2" i="1"/>
  <c r="B35" i="2" l="1"/>
  <c r="B31" i="2"/>
  <c r="B30" i="2"/>
  <c r="B29" i="2"/>
  <c r="B40" i="2"/>
  <c r="B28" i="2"/>
  <c r="B39" i="2"/>
  <c r="B27" i="2"/>
  <c r="B38" i="2"/>
  <c r="B26" i="2"/>
  <c r="B36" i="2"/>
  <c r="B34" i="2"/>
  <c r="B33" i="2"/>
  <c r="B32" i="2"/>
  <c r="B37" i="2"/>
</calcChain>
</file>

<file path=xl/sharedStrings.xml><?xml version="1.0" encoding="utf-8"?>
<sst xmlns="http://schemas.openxmlformats.org/spreadsheetml/2006/main" count="50" uniqueCount="45">
  <si>
    <t>Date</t>
  </si>
  <si>
    <t>Sales</t>
  </si>
  <si>
    <t>Day of Week</t>
  </si>
  <si>
    <t>Date &amp; Time 
Formatted like:
Mon, Jan 1, 2020 at 12:00 AM</t>
  </si>
  <si>
    <t>Sentence</t>
  </si>
  <si>
    <t>Rank</t>
  </si>
  <si>
    <t>Day Number</t>
  </si>
  <si>
    <t>Average</t>
  </si>
  <si>
    <t>Minimum</t>
  </si>
  <si>
    <t>Maximum</t>
  </si>
  <si>
    <t>Median</t>
  </si>
  <si>
    <t>Standard Deviation (sample)</t>
  </si>
  <si>
    <t>Statistics</t>
  </si>
  <si>
    <t>Mean</t>
  </si>
  <si>
    <t>Standard Error</t>
  </si>
  <si>
    <t>Day</t>
  </si>
  <si>
    <t>How Many?</t>
  </si>
  <si>
    <t>Sum</t>
  </si>
  <si>
    <t>Sunday</t>
  </si>
  <si>
    <t>Mode</t>
  </si>
  <si>
    <t>Monday</t>
  </si>
  <si>
    <t>Standard Deviation</t>
  </si>
  <si>
    <t>Tuesday</t>
  </si>
  <si>
    <t>Sample Variance</t>
  </si>
  <si>
    <t>Wednesday</t>
  </si>
  <si>
    <t>Kurtosis</t>
  </si>
  <si>
    <t>Thursday</t>
  </si>
  <si>
    <t>Skewness</t>
  </si>
  <si>
    <t>Friday</t>
  </si>
  <si>
    <t>Range</t>
  </si>
  <si>
    <t>Saturday</t>
  </si>
  <si>
    <t>Demand Extremes:</t>
  </si>
  <si>
    <t>Count</t>
  </si>
  <si>
    <t>top 5</t>
  </si>
  <si>
    <t>bottom 5</t>
  </si>
  <si>
    <t>Largest(1)</t>
  </si>
  <si>
    <t>Smallest(1)</t>
  </si>
  <si>
    <t>Bins</t>
  </si>
  <si>
    <t>How Many
(Using Frequency)</t>
  </si>
  <si>
    <t>How Many
(Using COUNTIFS)</t>
  </si>
  <si>
    <t>Bin</t>
  </si>
  <si>
    <t>Frequency</t>
  </si>
  <si>
    <t>Cumulative %</t>
  </si>
  <si>
    <t>leave this cell empty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</si>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</sst>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wrapText="1"/>
    </xf>
    <xf numFmtId="0" fontId="1" fillId="0" borderId="0" xfId="1"/>
    <xf numFmtId="0" fontId="2" fillId="0" borderId="0" xfId="1" applyFont="1" applyAlignment="1">
      <alignment wrapText="1"/>
    </xf>
    <xf numFmtId="0" fontId="2" fillId="0" borderId="1" xfId="1" applyFont="1" applyBorder="1" applyAlignment="1">
      <alignment horizontal="center" wrapText="1"/>
    </xf>
    <xf numFmtId="14" fontId="1" fillId="0" borderId="1" xfId="1" applyNumberFormat="1" applyBorder="1"/>
    <xf numFmtId="0" fontId="1" fillId="0" borderId="1" xfId="1" applyBorder="1"/>
    <xf numFmtId="0" fontId="2" fillId="0" borderId="1" xfId="1" applyFont="1" applyBorder="1" applyAlignment="1">
      <alignment horizontal="center"/>
    </xf>
    <xf numFmtId="0" fontId="2" fillId="0" borderId="0" xfId="1" applyFont="1"/>
    <xf numFmtId="0" fontId="2" fillId="0" borderId="2" xfId="1" applyFont="1" applyBorder="1" applyAlignment="1">
      <alignment horizontal="center"/>
    </xf>
    <xf numFmtId="0" fontId="3" fillId="2" borderId="1" xfId="1" applyFont="1" applyFill="1" applyBorder="1"/>
    <xf numFmtId="0" fontId="0" fillId="0" borderId="1" xfId="0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0" fontId="2" fillId="0" borderId="4" xfId="0" applyFont="1" applyBorder="1" applyAlignment="1">
      <alignment horizontal="centerContinuous"/>
    </xf>
    <xf numFmtId="10" fontId="0" fillId="0" borderId="0" xfId="0" applyNumberFormat="1"/>
    <xf numFmtId="10" fontId="0" fillId="0" borderId="3" xfId="0" applyNumberFormat="1" applyBorder="1"/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#pfnQYTawpRfDCzl3QIWB5x1dffKOo6vU5IGK/sITXcI=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Statistics!$G$25:$G$41</c:f>
              <c:strCach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More</c:v>
                </c:pt>
              </c:strCache>
            </c:strRef>
          </c:cat>
          <c:val>
            <c:numRef>
              <c:f>Statistics!$H$25:$H$41</c:f>
              <c:numCache>
                <c:formatCode>General</c:formatCode>
                <c:ptCount val="17"/>
                <c:pt idx="0">
                  <c:v>0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3</c:v>
                </c:pt>
                <c:pt idx="7">
                  <c:v>19</c:v>
                </c:pt>
                <c:pt idx="8">
                  <c:v>12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0-4795-9260-B5E4E622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957679"/>
        <c:axId val="541555199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Statistics!$G$25:$G$41</c:f>
              <c:strCache>
                <c:ptCount val="1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More</c:v>
                </c:pt>
              </c:strCache>
            </c:strRef>
          </c:cat>
          <c:val>
            <c:numRef>
              <c:f>Statistics!$I$25:$I$41</c:f>
              <c:numCache>
                <c:formatCode>0.00%</c:formatCode>
                <c:ptCount val="17"/>
                <c:pt idx="0">
                  <c:v>0</c:v>
                </c:pt>
                <c:pt idx="1">
                  <c:v>6.6666666666666666E-2</c:v>
                </c:pt>
                <c:pt idx="2">
                  <c:v>0.16666666666666666</c:v>
                </c:pt>
                <c:pt idx="3">
                  <c:v>0.25555555555555554</c:v>
                </c:pt>
                <c:pt idx="4">
                  <c:v>0.34444444444444444</c:v>
                </c:pt>
                <c:pt idx="5">
                  <c:v>0.42222222222222222</c:v>
                </c:pt>
                <c:pt idx="6">
                  <c:v>0.45555555555555555</c:v>
                </c:pt>
                <c:pt idx="7">
                  <c:v>0.66666666666666663</c:v>
                </c:pt>
                <c:pt idx="8">
                  <c:v>0.8</c:v>
                </c:pt>
                <c:pt idx="9">
                  <c:v>0.84444444444444444</c:v>
                </c:pt>
                <c:pt idx="10">
                  <c:v>0.87777777777777777</c:v>
                </c:pt>
                <c:pt idx="11">
                  <c:v>0.9</c:v>
                </c:pt>
                <c:pt idx="12">
                  <c:v>0.94444444444444442</c:v>
                </c:pt>
                <c:pt idx="13">
                  <c:v>0.98888888888888893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E0-4795-9260-B5E4E622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67759"/>
        <c:axId val="541566607"/>
      </c:lineChart>
      <c:catAx>
        <c:axId val="53895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1555199"/>
        <c:crosses val="autoZero"/>
        <c:auto val="1"/>
        <c:lblAlgn val="ctr"/>
        <c:lblOffset val="100"/>
        <c:noMultiLvlLbl val="0"/>
      </c:catAx>
      <c:valAx>
        <c:axId val="541555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957679"/>
        <c:crosses val="autoZero"/>
        <c:crossBetween val="between"/>
      </c:valAx>
      <c:valAx>
        <c:axId val="5415666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538967759"/>
        <c:crosses val="max"/>
        <c:crossBetween val="between"/>
      </c:valAx>
      <c:catAx>
        <c:axId val="538967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1566607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251460</xdr:colOff>
      <xdr:row>7</xdr:row>
      <xdr:rowOff>0</xdr:rowOff>
    </xdr:from>
    <xdr:to>
      <xdr:col>16</xdr:col>
      <xdr:colOff>251460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30880-39DA-CD5E-A62C-9AE49C05D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5D0803-837B-434B-9DB2-1E0A9EFE0D53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97B8ADA-EFE4-49EE-A7FB-2B86B668178E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A078-D71F-4D86-81B6-781008772695}">
  <dimension ref="A1:G91"/>
  <sheetViews>
    <sheetView tabSelected="1" zoomScale="90" zoomScaleNormal="90" workbookViewId="0">
      <selection activeCell="C75" sqref="C75"/>
    </sheetView>
  </sheetViews>
  <sheetFormatPr defaultRowHeight="14.45"/>
  <cols>
    <col min="1" max="1" width="10.5703125" style="2" bestFit="1" customWidth="1"/>
    <col min="3" max="3" width="12.140625" style="2" bestFit="1" customWidth="1"/>
    <col min="4" max="4" width="26.7109375" style="2" bestFit="1" customWidth="1"/>
    <col min="5" max="5" width="45.7109375" style="2" bestFit="1" customWidth="1"/>
    <col min="6" max="6" width="11" style="2" customWidth="1"/>
    <col min="7" max="7" width="12" style="2" bestFit="1" customWidth="1"/>
  </cols>
  <sheetData>
    <row r="1" spans="1:7" s="3" customFormat="1" ht="43.15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43831</v>
      </c>
      <c r="B2" s="11">
        <v>27</v>
      </c>
      <c r="C2" s="6" t="str">
        <f>TEXT(A2,"dddd")</f>
        <v>Wednesday</v>
      </c>
      <c r="D2" s="6" t="str">
        <f>TEXT(A2,"ddd, mmm d, yyyy at h:mm AM/PM")</f>
        <v>Wed, Jan 1, 2020 at 12:00 AM</v>
      </c>
      <c r="E2" s="6" t="str">
        <f>CONCATENATE("Today is ",C2," and we sold ",B2," Yeti Ramblers.")</f>
        <v>Today is Wednesday and we sold 27 Yeti Ramblers.</v>
      </c>
      <c r="F2" s="6">
        <f>_xlfn.RANK.EQ(B2,Sales,0)</f>
        <v>77</v>
      </c>
      <c r="G2" s="6">
        <f>WEEKDAY(A2,1)</f>
        <v>4</v>
      </c>
    </row>
    <row r="3" spans="1:7">
      <c r="A3" s="5">
        <v>43832</v>
      </c>
      <c r="B3" s="11">
        <v>47</v>
      </c>
      <c r="C3" s="6" t="str">
        <f t="shared" ref="C3:C66" si="0">TEXT(A3,"dddd")</f>
        <v>Thursday</v>
      </c>
      <c r="D3" s="6" t="str">
        <f t="shared" ref="D3:D66" si="1">TEXT(A3,"ddd, mmm d, yyyy at h:mm AM/PM")</f>
        <v>Thu, Jan 2, 2020 at 12:00 AM</v>
      </c>
      <c r="E3" s="6" t="str">
        <f t="shared" ref="E3:E66" si="2">CONCATENATE("Today is ",C3," and we sold ",B3," Yeti Ramblers.")</f>
        <v>Today is Thursday and we sold 47 Yeti Ramblers.</v>
      </c>
      <c r="F3" s="6">
        <f>_xlfn.RANK.EQ(B3,Sales,0)</f>
        <v>62</v>
      </c>
      <c r="G3" s="6">
        <f t="shared" ref="G3:G66" si="3">WEEKDAY(A3,1)</f>
        <v>5</v>
      </c>
    </row>
    <row r="4" spans="1:7">
      <c r="A4" s="5">
        <v>43833</v>
      </c>
      <c r="B4" s="11">
        <v>26</v>
      </c>
      <c r="C4" s="6" t="str">
        <f t="shared" si="0"/>
        <v>Friday</v>
      </c>
      <c r="D4" s="6" t="str">
        <f t="shared" si="1"/>
        <v>Fri, Jan 3, 2020 at 12:00 AM</v>
      </c>
      <c r="E4" s="6" t="str">
        <f t="shared" si="2"/>
        <v>Today is Friday and we sold 26 Yeti Ramblers.</v>
      </c>
      <c r="F4" s="6">
        <f>_xlfn.RANK.EQ(B4,Sales,0)</f>
        <v>80</v>
      </c>
      <c r="G4" s="6">
        <f t="shared" si="3"/>
        <v>6</v>
      </c>
    </row>
    <row r="5" spans="1:7">
      <c r="A5" s="5">
        <v>43834</v>
      </c>
      <c r="B5" s="11">
        <v>89</v>
      </c>
      <c r="C5" s="6" t="str">
        <f t="shared" si="0"/>
        <v>Saturday</v>
      </c>
      <c r="D5" s="6" t="str">
        <f t="shared" si="1"/>
        <v>Sat, Jan 4, 2020 at 12:00 AM</v>
      </c>
      <c r="E5" s="6" t="str">
        <f t="shared" si="2"/>
        <v>Today is Saturday and we sold 89 Yeti Ramblers.</v>
      </c>
      <c r="F5" s="6">
        <f>_xlfn.RANK.EQ(B5,Sales,0)</f>
        <v>19</v>
      </c>
      <c r="G5" s="6">
        <f t="shared" si="3"/>
        <v>7</v>
      </c>
    </row>
    <row r="6" spans="1:7">
      <c r="A6" s="5">
        <v>43835</v>
      </c>
      <c r="B6" s="11">
        <v>80</v>
      </c>
      <c r="C6" s="6" t="str">
        <f t="shared" si="0"/>
        <v>Sunday</v>
      </c>
      <c r="D6" s="6" t="str">
        <f t="shared" si="1"/>
        <v>Sun, Jan 5, 2020 at 12:00 AM</v>
      </c>
      <c r="E6" s="6" t="str">
        <f t="shared" si="2"/>
        <v>Today is Sunday and we sold 80 Yeti Ramblers.</v>
      </c>
      <c r="F6" s="6">
        <f>_xlfn.RANK.EQ(B6,Sales,0)</f>
        <v>31</v>
      </c>
      <c r="G6" s="6">
        <f t="shared" si="3"/>
        <v>1</v>
      </c>
    </row>
    <row r="7" spans="1:7">
      <c r="A7" s="5">
        <v>43836</v>
      </c>
      <c r="B7" s="11">
        <v>132</v>
      </c>
      <c r="C7" s="6" t="str">
        <f t="shared" si="0"/>
        <v>Monday</v>
      </c>
      <c r="D7" s="6" t="str">
        <f t="shared" si="1"/>
        <v>Mon, Jan 6, 2020 at 12:00 AM</v>
      </c>
      <c r="E7" s="6" t="str">
        <f t="shared" si="2"/>
        <v>Today is Monday and we sold 132 Yeti Ramblers.</v>
      </c>
      <c r="F7" s="6">
        <f>_xlfn.RANK.EQ(B7,Sales,0)</f>
        <v>4</v>
      </c>
      <c r="G7" s="6">
        <f t="shared" si="3"/>
        <v>2</v>
      </c>
    </row>
    <row r="8" spans="1:7">
      <c r="A8" s="5">
        <v>43837</v>
      </c>
      <c r="B8" s="11">
        <v>80</v>
      </c>
      <c r="C8" s="6" t="str">
        <f t="shared" si="0"/>
        <v>Tuesday</v>
      </c>
      <c r="D8" s="6" t="str">
        <f t="shared" si="1"/>
        <v>Tue, Jan 7, 2020 at 12:00 AM</v>
      </c>
      <c r="E8" s="6" t="str">
        <f t="shared" si="2"/>
        <v>Today is Tuesday and we sold 80 Yeti Ramblers.</v>
      </c>
      <c r="F8" s="6">
        <f>_xlfn.RANK.EQ(B8,Sales,0)</f>
        <v>31</v>
      </c>
      <c r="G8" s="6">
        <f t="shared" si="3"/>
        <v>3</v>
      </c>
    </row>
    <row r="9" spans="1:7">
      <c r="A9" s="5">
        <v>43838</v>
      </c>
      <c r="B9" s="11">
        <v>15</v>
      </c>
      <c r="C9" s="6" t="str">
        <f t="shared" si="0"/>
        <v>Wednesday</v>
      </c>
      <c r="D9" s="6" t="str">
        <f t="shared" si="1"/>
        <v>Wed, Jan 8, 2020 at 12:00 AM</v>
      </c>
      <c r="E9" s="6" t="str">
        <f t="shared" si="2"/>
        <v>Today is Wednesday and we sold 15 Yeti Ramblers.</v>
      </c>
      <c r="F9" s="6">
        <f>_xlfn.RANK.EQ(B9,Sales,0)</f>
        <v>87</v>
      </c>
      <c r="G9" s="6">
        <f t="shared" si="3"/>
        <v>4</v>
      </c>
    </row>
    <row r="10" spans="1:7">
      <c r="A10" s="5">
        <v>43839</v>
      </c>
      <c r="B10" s="11">
        <v>15</v>
      </c>
      <c r="C10" s="6" t="str">
        <f t="shared" si="0"/>
        <v>Thursday</v>
      </c>
      <c r="D10" s="6" t="str">
        <f t="shared" si="1"/>
        <v>Thu, Jan 9, 2020 at 12:00 AM</v>
      </c>
      <c r="E10" s="6" t="str">
        <f t="shared" si="2"/>
        <v>Today is Thursday and we sold 15 Yeti Ramblers.</v>
      </c>
      <c r="F10" s="6">
        <f>_xlfn.RANK.EQ(B10,Sales,0)</f>
        <v>87</v>
      </c>
      <c r="G10" s="6">
        <f t="shared" si="3"/>
        <v>5</v>
      </c>
    </row>
    <row r="11" spans="1:7">
      <c r="A11" s="5">
        <v>43840</v>
      </c>
      <c r="B11" s="11">
        <v>77</v>
      </c>
      <c r="C11" s="6" t="str">
        <f t="shared" si="0"/>
        <v>Friday</v>
      </c>
      <c r="D11" s="6" t="str">
        <f t="shared" si="1"/>
        <v>Fri, Jan 10, 2020 at 12:00 AM</v>
      </c>
      <c r="E11" s="6" t="str">
        <f t="shared" si="2"/>
        <v>Today is Friday and we sold 77 Yeti Ramblers.</v>
      </c>
      <c r="F11" s="6">
        <f>_xlfn.RANK.EQ(B11,Sales,0)</f>
        <v>37</v>
      </c>
      <c r="G11" s="6">
        <f t="shared" si="3"/>
        <v>6</v>
      </c>
    </row>
    <row r="12" spans="1:7">
      <c r="A12" s="5">
        <v>43841</v>
      </c>
      <c r="B12" s="11">
        <v>81</v>
      </c>
      <c r="C12" s="6" t="str">
        <f t="shared" si="0"/>
        <v>Saturday</v>
      </c>
      <c r="D12" s="6" t="str">
        <f t="shared" si="1"/>
        <v>Sat, Jan 11, 2020 at 12:00 AM</v>
      </c>
      <c r="E12" s="6" t="str">
        <f t="shared" si="2"/>
        <v>Today is Saturday and we sold 81 Yeti Ramblers.</v>
      </c>
      <c r="F12" s="6">
        <f>_xlfn.RANK.EQ(B12,Sales,0)</f>
        <v>28</v>
      </c>
      <c r="G12" s="6">
        <f t="shared" si="3"/>
        <v>7</v>
      </c>
    </row>
    <row r="13" spans="1:7">
      <c r="A13" s="5">
        <v>43842</v>
      </c>
      <c r="B13" s="11">
        <v>94</v>
      </c>
      <c r="C13" s="6" t="str">
        <f t="shared" si="0"/>
        <v>Sunday</v>
      </c>
      <c r="D13" s="6" t="str">
        <f t="shared" si="1"/>
        <v>Sun, Jan 12, 2020 at 12:00 AM</v>
      </c>
      <c r="E13" s="6" t="str">
        <f t="shared" si="2"/>
        <v>Today is Sunday and we sold 94 Yeti Ramblers.</v>
      </c>
      <c r="F13" s="6">
        <f>_xlfn.RANK.EQ(B13,Sales,0)</f>
        <v>15</v>
      </c>
      <c r="G13" s="6">
        <f t="shared" si="3"/>
        <v>1</v>
      </c>
    </row>
    <row r="14" spans="1:7">
      <c r="A14" s="5">
        <v>43843</v>
      </c>
      <c r="B14" s="11">
        <v>92</v>
      </c>
      <c r="C14" s="6" t="str">
        <f t="shared" si="0"/>
        <v>Monday</v>
      </c>
      <c r="D14" s="6" t="str">
        <f t="shared" si="1"/>
        <v>Mon, Jan 13, 2020 at 12:00 AM</v>
      </c>
      <c r="E14" s="6" t="str">
        <f t="shared" si="2"/>
        <v>Today is Monday and we sold 92 Yeti Ramblers.</v>
      </c>
      <c r="F14" s="6">
        <f>_xlfn.RANK.EQ(B14,Sales,0)</f>
        <v>17</v>
      </c>
      <c r="G14" s="6">
        <f t="shared" si="3"/>
        <v>2</v>
      </c>
    </row>
    <row r="15" spans="1:7">
      <c r="A15" s="5">
        <v>43844</v>
      </c>
      <c r="B15" s="11">
        <v>27</v>
      </c>
      <c r="C15" s="6" t="str">
        <f t="shared" si="0"/>
        <v>Tuesday</v>
      </c>
      <c r="D15" s="6" t="str">
        <f t="shared" si="1"/>
        <v>Tue, Jan 14, 2020 at 12:00 AM</v>
      </c>
      <c r="E15" s="6" t="str">
        <f t="shared" si="2"/>
        <v>Today is Tuesday and we sold 27 Yeti Ramblers.</v>
      </c>
      <c r="F15" s="6">
        <f>_xlfn.RANK.EQ(B15,Sales,0)</f>
        <v>77</v>
      </c>
      <c r="G15" s="6">
        <f t="shared" si="3"/>
        <v>3</v>
      </c>
    </row>
    <row r="16" spans="1:7">
      <c r="A16" s="5">
        <v>43845</v>
      </c>
      <c r="B16" s="11">
        <v>55</v>
      </c>
      <c r="C16" s="6" t="str">
        <f t="shared" si="0"/>
        <v>Wednesday</v>
      </c>
      <c r="D16" s="6" t="str">
        <f t="shared" si="1"/>
        <v>Wed, Jan 15, 2020 at 12:00 AM</v>
      </c>
      <c r="E16" s="6" t="str">
        <f t="shared" si="2"/>
        <v>Today is Wednesday and we sold 55 Yeti Ramblers.</v>
      </c>
      <c r="F16" s="6">
        <f>_xlfn.RANK.EQ(B16,Sales,0)</f>
        <v>55</v>
      </c>
      <c r="G16" s="6">
        <f t="shared" si="3"/>
        <v>4</v>
      </c>
    </row>
    <row r="17" spans="1:7">
      <c r="A17" s="5">
        <v>43846</v>
      </c>
      <c r="B17" s="11">
        <v>71</v>
      </c>
      <c r="C17" s="6" t="str">
        <f t="shared" si="0"/>
        <v>Thursday</v>
      </c>
      <c r="D17" s="6" t="str">
        <f t="shared" si="1"/>
        <v>Thu, Jan 16, 2020 at 12:00 AM</v>
      </c>
      <c r="E17" s="6" t="str">
        <f t="shared" si="2"/>
        <v>Today is Thursday and we sold 71 Yeti Ramblers.</v>
      </c>
      <c r="F17" s="6">
        <f>_xlfn.RANK.EQ(B17,Sales,0)</f>
        <v>46</v>
      </c>
      <c r="G17" s="6">
        <f t="shared" si="3"/>
        <v>5</v>
      </c>
    </row>
    <row r="18" spans="1:7">
      <c r="A18" s="5">
        <v>43847</v>
      </c>
      <c r="B18" s="11">
        <v>57</v>
      </c>
      <c r="C18" s="6" t="str">
        <f t="shared" si="0"/>
        <v>Friday</v>
      </c>
      <c r="D18" s="6" t="str">
        <f t="shared" si="1"/>
        <v>Fri, Jan 17, 2020 at 12:00 AM</v>
      </c>
      <c r="E18" s="6" t="str">
        <f t="shared" si="2"/>
        <v>Today is Friday and we sold 57 Yeti Ramblers.</v>
      </c>
      <c r="F18" s="6">
        <f>_xlfn.RANK.EQ(B18,Sales,0)</f>
        <v>54</v>
      </c>
      <c r="G18" s="6">
        <f t="shared" si="3"/>
        <v>6</v>
      </c>
    </row>
    <row r="19" spans="1:7">
      <c r="A19" s="5">
        <v>43848</v>
      </c>
      <c r="B19" s="11">
        <v>81</v>
      </c>
      <c r="C19" s="6" t="str">
        <f t="shared" si="0"/>
        <v>Saturday</v>
      </c>
      <c r="D19" s="6" t="str">
        <f t="shared" si="1"/>
        <v>Sat, Jan 18, 2020 at 12:00 AM</v>
      </c>
      <c r="E19" s="6" t="str">
        <f t="shared" si="2"/>
        <v>Today is Saturday and we sold 81 Yeti Ramblers.</v>
      </c>
      <c r="F19" s="6">
        <f>_xlfn.RANK.EQ(B19,Sales,0)</f>
        <v>28</v>
      </c>
      <c r="G19" s="6">
        <f t="shared" si="3"/>
        <v>7</v>
      </c>
    </row>
    <row r="20" spans="1:7">
      <c r="A20" s="5">
        <v>43849</v>
      </c>
      <c r="B20" s="11">
        <v>122</v>
      </c>
      <c r="C20" s="6" t="str">
        <f t="shared" si="0"/>
        <v>Sunday</v>
      </c>
      <c r="D20" s="6" t="str">
        <f t="shared" si="1"/>
        <v>Sun, Jan 19, 2020 at 12:00 AM</v>
      </c>
      <c r="E20" s="6" t="str">
        <f t="shared" si="2"/>
        <v>Today is Sunday and we sold 122 Yeti Ramblers.</v>
      </c>
      <c r="F20" s="6">
        <f>_xlfn.RANK.EQ(B20,Sales,0)</f>
        <v>9</v>
      </c>
      <c r="G20" s="6">
        <f t="shared" si="3"/>
        <v>1</v>
      </c>
    </row>
    <row r="21" spans="1:7">
      <c r="A21" s="5">
        <v>43850</v>
      </c>
      <c r="B21" s="11">
        <v>114</v>
      </c>
      <c r="C21" s="6" t="str">
        <f t="shared" si="0"/>
        <v>Monday</v>
      </c>
      <c r="D21" s="6" t="str">
        <f t="shared" si="1"/>
        <v>Mon, Jan 20, 2020 at 12:00 AM</v>
      </c>
      <c r="E21" s="6" t="str">
        <f t="shared" si="2"/>
        <v>Today is Monday and we sold 114 Yeti Ramblers.</v>
      </c>
      <c r="F21" s="6">
        <f>_xlfn.RANK.EQ(B21,Sales,0)</f>
        <v>11</v>
      </c>
      <c r="G21" s="6">
        <f t="shared" si="3"/>
        <v>2</v>
      </c>
    </row>
    <row r="22" spans="1:7">
      <c r="A22" s="5">
        <v>43851</v>
      </c>
      <c r="B22" s="11">
        <v>50</v>
      </c>
      <c r="C22" s="6" t="str">
        <f t="shared" si="0"/>
        <v>Tuesday</v>
      </c>
      <c r="D22" s="6" t="str">
        <f t="shared" si="1"/>
        <v>Tue, Jan 21, 2020 at 12:00 AM</v>
      </c>
      <c r="E22" s="6" t="str">
        <f t="shared" si="2"/>
        <v>Today is Tuesday and we sold 50 Yeti Ramblers.</v>
      </c>
      <c r="F22" s="6">
        <f>_xlfn.RANK.EQ(B22,Sales,0)</f>
        <v>60</v>
      </c>
      <c r="G22" s="6">
        <f t="shared" si="3"/>
        <v>3</v>
      </c>
    </row>
    <row r="23" spans="1:7">
      <c r="A23" s="5">
        <v>43852</v>
      </c>
      <c r="B23" s="11">
        <v>39</v>
      </c>
      <c r="C23" s="6" t="str">
        <f t="shared" si="0"/>
        <v>Wednesday</v>
      </c>
      <c r="D23" s="6" t="str">
        <f t="shared" si="1"/>
        <v>Wed, Jan 22, 2020 at 12:00 AM</v>
      </c>
      <c r="E23" s="6" t="str">
        <f t="shared" si="2"/>
        <v>Today is Wednesday and we sold 39 Yeti Ramblers.</v>
      </c>
      <c r="F23" s="6">
        <f>_xlfn.RANK.EQ(B23,Sales,0)</f>
        <v>68</v>
      </c>
      <c r="G23" s="6">
        <f t="shared" si="3"/>
        <v>4</v>
      </c>
    </row>
    <row r="24" spans="1:7">
      <c r="A24" s="5">
        <v>43853</v>
      </c>
      <c r="B24" s="11">
        <v>15</v>
      </c>
      <c r="C24" s="6" t="str">
        <f t="shared" si="0"/>
        <v>Thursday</v>
      </c>
      <c r="D24" s="6" t="str">
        <f t="shared" si="1"/>
        <v>Thu, Jan 23, 2020 at 12:00 AM</v>
      </c>
      <c r="E24" s="6" t="str">
        <f t="shared" si="2"/>
        <v>Today is Thursday and we sold 15 Yeti Ramblers.</v>
      </c>
      <c r="F24" s="6">
        <f>_xlfn.RANK.EQ(B24,Sales,0)</f>
        <v>87</v>
      </c>
      <c r="G24" s="6">
        <f t="shared" si="3"/>
        <v>5</v>
      </c>
    </row>
    <row r="25" spans="1:7">
      <c r="A25" s="5">
        <v>43854</v>
      </c>
      <c r="B25" s="11">
        <v>33</v>
      </c>
      <c r="C25" s="6" t="str">
        <f t="shared" si="0"/>
        <v>Friday</v>
      </c>
      <c r="D25" s="6" t="str">
        <f t="shared" si="1"/>
        <v>Fri, Jan 24, 2020 at 12:00 AM</v>
      </c>
      <c r="E25" s="6" t="str">
        <f t="shared" si="2"/>
        <v>Today is Friday and we sold 33 Yeti Ramblers.</v>
      </c>
      <c r="F25" s="6">
        <f>_xlfn.RANK.EQ(B25,Sales,0)</f>
        <v>75</v>
      </c>
      <c r="G25" s="6">
        <f t="shared" si="3"/>
        <v>6</v>
      </c>
    </row>
    <row r="26" spans="1:7">
      <c r="A26" s="5">
        <v>43855</v>
      </c>
      <c r="B26" s="11">
        <v>54</v>
      </c>
      <c r="C26" s="6" t="str">
        <f t="shared" si="0"/>
        <v>Saturday</v>
      </c>
      <c r="D26" s="6" t="str">
        <f t="shared" si="1"/>
        <v>Sat, Jan 25, 2020 at 12:00 AM</v>
      </c>
      <c r="E26" s="6" t="str">
        <f t="shared" si="2"/>
        <v>Today is Saturday and we sold 54 Yeti Ramblers.</v>
      </c>
      <c r="F26" s="6">
        <f>_xlfn.RANK.EQ(B26,Sales,0)</f>
        <v>57</v>
      </c>
      <c r="G26" s="6">
        <f t="shared" si="3"/>
        <v>7</v>
      </c>
    </row>
    <row r="27" spans="1:7">
      <c r="A27" s="5">
        <v>43856</v>
      </c>
      <c r="B27" s="11">
        <v>131</v>
      </c>
      <c r="C27" s="6" t="str">
        <f t="shared" si="0"/>
        <v>Sunday</v>
      </c>
      <c r="D27" s="6" t="str">
        <f t="shared" si="1"/>
        <v>Sun, Jan 26, 2020 at 12:00 AM</v>
      </c>
      <c r="E27" s="6" t="str">
        <f t="shared" si="2"/>
        <v>Today is Sunday and we sold 131 Yeti Ramblers.</v>
      </c>
      <c r="F27" s="6">
        <f>_xlfn.RANK.EQ(B27,Sales,0)</f>
        <v>5</v>
      </c>
      <c r="G27" s="6">
        <f t="shared" si="3"/>
        <v>1</v>
      </c>
    </row>
    <row r="28" spans="1:7">
      <c r="A28" s="5">
        <v>43857</v>
      </c>
      <c r="B28" s="11">
        <v>124</v>
      </c>
      <c r="C28" s="6" t="str">
        <f t="shared" si="0"/>
        <v>Monday</v>
      </c>
      <c r="D28" s="6" t="str">
        <f t="shared" si="1"/>
        <v>Mon, Jan 27, 2020 at 12:00 AM</v>
      </c>
      <c r="E28" s="6" t="str">
        <f t="shared" si="2"/>
        <v>Today is Monday and we sold 124 Yeti Ramblers.</v>
      </c>
      <c r="F28" s="6">
        <f>_xlfn.RANK.EQ(B28,Sales,0)</f>
        <v>8</v>
      </c>
      <c r="G28" s="6">
        <f t="shared" si="3"/>
        <v>2</v>
      </c>
    </row>
    <row r="29" spans="1:7">
      <c r="A29" s="5">
        <v>43858</v>
      </c>
      <c r="B29" s="11">
        <v>26</v>
      </c>
      <c r="C29" s="6" t="str">
        <f t="shared" si="0"/>
        <v>Tuesday</v>
      </c>
      <c r="D29" s="6" t="str">
        <f t="shared" si="1"/>
        <v>Tue, Jan 28, 2020 at 12:00 AM</v>
      </c>
      <c r="E29" s="6" t="str">
        <f t="shared" si="2"/>
        <v>Today is Tuesday and we sold 26 Yeti Ramblers.</v>
      </c>
      <c r="F29" s="6">
        <f>_xlfn.RANK.EQ(B29,Sales,0)</f>
        <v>80</v>
      </c>
      <c r="G29" s="6">
        <f t="shared" si="3"/>
        <v>3</v>
      </c>
    </row>
    <row r="30" spans="1:7">
      <c r="A30" s="5">
        <v>43859</v>
      </c>
      <c r="B30" s="11">
        <v>59</v>
      </c>
      <c r="C30" s="6" t="str">
        <f t="shared" si="0"/>
        <v>Wednesday</v>
      </c>
      <c r="D30" s="6" t="str">
        <f t="shared" si="1"/>
        <v>Wed, Jan 29, 2020 at 12:00 AM</v>
      </c>
      <c r="E30" s="6" t="str">
        <f t="shared" si="2"/>
        <v>Today is Wednesday and we sold 59 Yeti Ramblers.</v>
      </c>
      <c r="F30" s="6">
        <f>_xlfn.RANK.EQ(B30,Sales,0)</f>
        <v>53</v>
      </c>
      <c r="G30" s="6">
        <f t="shared" si="3"/>
        <v>4</v>
      </c>
    </row>
    <row r="31" spans="1:7">
      <c r="A31" s="5">
        <v>43860</v>
      </c>
      <c r="B31" s="11">
        <v>55</v>
      </c>
      <c r="C31" s="6" t="str">
        <f t="shared" si="0"/>
        <v>Thursday</v>
      </c>
      <c r="D31" s="6" t="str">
        <f t="shared" si="1"/>
        <v>Thu, Jan 30, 2020 at 12:00 AM</v>
      </c>
      <c r="E31" s="6" t="str">
        <f t="shared" si="2"/>
        <v>Today is Thursday and we sold 55 Yeti Ramblers.</v>
      </c>
      <c r="F31" s="6">
        <f>_xlfn.RANK.EQ(B31,Sales,0)</f>
        <v>55</v>
      </c>
      <c r="G31" s="6">
        <f t="shared" si="3"/>
        <v>5</v>
      </c>
    </row>
    <row r="32" spans="1:7">
      <c r="A32" s="5">
        <v>43861</v>
      </c>
      <c r="B32" s="11">
        <v>47</v>
      </c>
      <c r="C32" s="6" t="str">
        <f t="shared" si="0"/>
        <v>Friday</v>
      </c>
      <c r="D32" s="6" t="str">
        <f t="shared" si="1"/>
        <v>Fri, Jan 31, 2020 at 12:00 AM</v>
      </c>
      <c r="E32" s="6" t="str">
        <f t="shared" si="2"/>
        <v>Today is Friday and we sold 47 Yeti Ramblers.</v>
      </c>
      <c r="F32" s="6">
        <f>_xlfn.RANK.EQ(B32,Sales,0)</f>
        <v>62</v>
      </c>
      <c r="G32" s="6">
        <f t="shared" si="3"/>
        <v>6</v>
      </c>
    </row>
    <row r="33" spans="1:7">
      <c r="A33" s="5">
        <v>43862</v>
      </c>
      <c r="B33" s="11">
        <v>44</v>
      </c>
      <c r="C33" s="6" t="str">
        <f t="shared" si="0"/>
        <v>Saturday</v>
      </c>
      <c r="D33" s="6" t="str">
        <f t="shared" si="1"/>
        <v>Sat, Feb 1, 2020 at 12:00 AM</v>
      </c>
      <c r="E33" s="6" t="str">
        <f t="shared" si="2"/>
        <v>Today is Saturday and we sold 44 Yeti Ramblers.</v>
      </c>
      <c r="F33" s="6">
        <f>_xlfn.RANK.EQ(B33,Sales,0)</f>
        <v>66</v>
      </c>
      <c r="G33" s="6">
        <f t="shared" si="3"/>
        <v>7</v>
      </c>
    </row>
    <row r="34" spans="1:7">
      <c r="A34" s="5">
        <v>43863</v>
      </c>
      <c r="B34" s="11">
        <v>91</v>
      </c>
      <c r="C34" s="6" t="str">
        <f t="shared" si="0"/>
        <v>Sunday</v>
      </c>
      <c r="D34" s="6" t="str">
        <f t="shared" si="1"/>
        <v>Sun, Feb 2, 2020 at 12:00 AM</v>
      </c>
      <c r="E34" s="6" t="str">
        <f t="shared" si="2"/>
        <v>Today is Sunday and we sold 91 Yeti Ramblers.</v>
      </c>
      <c r="F34" s="6">
        <f>_xlfn.RANK.EQ(B34,Sales,0)</f>
        <v>18</v>
      </c>
      <c r="G34" s="6">
        <f t="shared" si="3"/>
        <v>1</v>
      </c>
    </row>
    <row r="35" spans="1:7">
      <c r="A35" s="5">
        <v>43864</v>
      </c>
      <c r="B35" s="11">
        <v>80</v>
      </c>
      <c r="C35" s="6" t="str">
        <f t="shared" si="0"/>
        <v>Monday</v>
      </c>
      <c r="D35" s="6" t="str">
        <f t="shared" si="1"/>
        <v>Mon, Feb 3, 2020 at 12:00 AM</v>
      </c>
      <c r="E35" s="6" t="str">
        <f t="shared" si="2"/>
        <v>Today is Monday and we sold 80 Yeti Ramblers.</v>
      </c>
      <c r="F35" s="6">
        <f>_xlfn.RANK.EQ(B35,Sales,0)</f>
        <v>31</v>
      </c>
      <c r="G35" s="6">
        <f t="shared" si="3"/>
        <v>2</v>
      </c>
    </row>
    <row r="36" spans="1:7">
      <c r="A36" s="5">
        <v>43865</v>
      </c>
      <c r="B36" s="11">
        <v>76</v>
      </c>
      <c r="C36" s="6" t="str">
        <f t="shared" si="0"/>
        <v>Tuesday</v>
      </c>
      <c r="D36" s="6" t="str">
        <f t="shared" si="1"/>
        <v>Tue, Feb 4, 2020 at 12:00 AM</v>
      </c>
      <c r="E36" s="6" t="str">
        <f t="shared" si="2"/>
        <v>Today is Tuesday and we sold 76 Yeti Ramblers.</v>
      </c>
      <c r="F36" s="6">
        <f>_xlfn.RANK.EQ(B36,Sales,0)</f>
        <v>39</v>
      </c>
      <c r="G36" s="6">
        <f t="shared" si="3"/>
        <v>3</v>
      </c>
    </row>
    <row r="37" spans="1:7">
      <c r="A37" s="5">
        <v>43866</v>
      </c>
      <c r="B37" s="11">
        <v>39</v>
      </c>
      <c r="C37" s="6" t="str">
        <f t="shared" si="0"/>
        <v>Wednesday</v>
      </c>
      <c r="D37" s="6" t="str">
        <f t="shared" si="1"/>
        <v>Wed, Feb 5, 2020 at 12:00 AM</v>
      </c>
      <c r="E37" s="6" t="str">
        <f t="shared" si="2"/>
        <v>Today is Wednesday and we sold 39 Yeti Ramblers.</v>
      </c>
      <c r="F37" s="6">
        <f>_xlfn.RANK.EQ(B37,Sales,0)</f>
        <v>68</v>
      </c>
      <c r="G37" s="6">
        <f t="shared" si="3"/>
        <v>4</v>
      </c>
    </row>
    <row r="38" spans="1:7">
      <c r="A38" s="5">
        <v>43867</v>
      </c>
      <c r="B38" s="11">
        <v>22</v>
      </c>
      <c r="C38" s="6" t="str">
        <f t="shared" si="0"/>
        <v>Thursday</v>
      </c>
      <c r="D38" s="6" t="str">
        <f t="shared" si="1"/>
        <v>Thu, Feb 6, 2020 at 12:00 AM</v>
      </c>
      <c r="E38" s="6" t="str">
        <f t="shared" si="2"/>
        <v>Today is Thursday and we sold 22 Yeti Ramblers.</v>
      </c>
      <c r="F38" s="6">
        <f>_xlfn.RANK.EQ(B38,Sales,0)</f>
        <v>83</v>
      </c>
      <c r="G38" s="6">
        <f t="shared" si="3"/>
        <v>5</v>
      </c>
    </row>
    <row r="39" spans="1:7">
      <c r="A39" s="5">
        <v>43868</v>
      </c>
      <c r="B39" s="11">
        <v>79</v>
      </c>
      <c r="C39" s="6" t="str">
        <f t="shared" si="0"/>
        <v>Friday</v>
      </c>
      <c r="D39" s="6" t="str">
        <f t="shared" si="1"/>
        <v>Fri, Feb 7, 2020 at 12:00 AM</v>
      </c>
      <c r="E39" s="6" t="str">
        <f t="shared" si="2"/>
        <v>Today is Friday and we sold 79 Yeti Ramblers.</v>
      </c>
      <c r="F39" s="6">
        <f>_xlfn.RANK.EQ(B39,Sales,0)</f>
        <v>35</v>
      </c>
      <c r="G39" s="6">
        <f t="shared" si="3"/>
        <v>6</v>
      </c>
    </row>
    <row r="40" spans="1:7">
      <c r="A40" s="5">
        <v>43869</v>
      </c>
      <c r="B40" s="11">
        <v>77</v>
      </c>
      <c r="C40" s="6" t="str">
        <f t="shared" si="0"/>
        <v>Saturday</v>
      </c>
      <c r="D40" s="6" t="str">
        <f t="shared" si="1"/>
        <v>Sat, Feb 8, 2020 at 12:00 AM</v>
      </c>
      <c r="E40" s="6" t="str">
        <f t="shared" si="2"/>
        <v>Today is Saturday and we sold 77 Yeti Ramblers.</v>
      </c>
      <c r="F40" s="6">
        <f>_xlfn.RANK.EQ(B40,Sales,0)</f>
        <v>37</v>
      </c>
      <c r="G40" s="6">
        <f t="shared" si="3"/>
        <v>7</v>
      </c>
    </row>
    <row r="41" spans="1:7">
      <c r="A41" s="5">
        <v>43870</v>
      </c>
      <c r="B41" s="11">
        <v>138</v>
      </c>
      <c r="C41" s="6" t="str">
        <f t="shared" si="0"/>
        <v>Sunday</v>
      </c>
      <c r="D41" s="6" t="str">
        <f t="shared" si="1"/>
        <v>Sun, Feb 9, 2020 at 12:00 AM</v>
      </c>
      <c r="E41" s="6" t="str">
        <f t="shared" si="2"/>
        <v>Today is Sunday and we sold 138 Yeti Ramblers.</v>
      </c>
      <c r="F41" s="6">
        <f>_xlfn.RANK.EQ(B41,Sales,0)</f>
        <v>3</v>
      </c>
      <c r="G41" s="6">
        <f t="shared" si="3"/>
        <v>1</v>
      </c>
    </row>
    <row r="42" spans="1:7">
      <c r="A42" s="5">
        <v>43871</v>
      </c>
      <c r="B42" s="11">
        <v>81</v>
      </c>
      <c r="C42" s="6" t="str">
        <f t="shared" si="0"/>
        <v>Monday</v>
      </c>
      <c r="D42" s="6" t="str">
        <f t="shared" si="1"/>
        <v>Mon, Feb 10, 2020 at 12:00 AM</v>
      </c>
      <c r="E42" s="6" t="str">
        <f t="shared" si="2"/>
        <v>Today is Monday and we sold 81 Yeti Ramblers.</v>
      </c>
      <c r="F42" s="6">
        <f>_xlfn.RANK.EQ(B42,Sales,0)</f>
        <v>28</v>
      </c>
      <c r="G42" s="6">
        <f t="shared" si="3"/>
        <v>2</v>
      </c>
    </row>
    <row r="43" spans="1:7">
      <c r="A43" s="5">
        <v>43872</v>
      </c>
      <c r="B43" s="11">
        <v>50</v>
      </c>
      <c r="C43" s="6" t="str">
        <f t="shared" si="0"/>
        <v>Tuesday</v>
      </c>
      <c r="D43" s="6" t="str">
        <f t="shared" si="1"/>
        <v>Tue, Feb 11, 2020 at 12:00 AM</v>
      </c>
      <c r="E43" s="6" t="str">
        <f t="shared" si="2"/>
        <v>Today is Tuesday and we sold 50 Yeti Ramblers.</v>
      </c>
      <c r="F43" s="6">
        <f>_xlfn.RANK.EQ(B43,Sales,0)</f>
        <v>60</v>
      </c>
      <c r="G43" s="6">
        <f t="shared" si="3"/>
        <v>3</v>
      </c>
    </row>
    <row r="44" spans="1:7">
      <c r="A44" s="5">
        <v>43873</v>
      </c>
      <c r="B44" s="11">
        <v>45</v>
      </c>
      <c r="C44" s="6" t="str">
        <f t="shared" si="0"/>
        <v>Wednesday</v>
      </c>
      <c r="D44" s="6" t="str">
        <f t="shared" si="1"/>
        <v>Wed, Feb 12, 2020 at 12:00 AM</v>
      </c>
      <c r="E44" s="6" t="str">
        <f t="shared" si="2"/>
        <v>Today is Wednesday and we sold 45 Yeti Ramblers.</v>
      </c>
      <c r="F44" s="6">
        <f>_xlfn.RANK.EQ(B44,Sales,0)</f>
        <v>64</v>
      </c>
      <c r="G44" s="6">
        <f t="shared" si="3"/>
        <v>4</v>
      </c>
    </row>
    <row r="45" spans="1:7">
      <c r="A45" s="5">
        <v>43874</v>
      </c>
      <c r="B45" s="11">
        <v>39</v>
      </c>
      <c r="C45" s="6" t="str">
        <f t="shared" si="0"/>
        <v>Thursday</v>
      </c>
      <c r="D45" s="6" t="str">
        <f t="shared" si="1"/>
        <v>Thu, Feb 13, 2020 at 12:00 AM</v>
      </c>
      <c r="E45" s="6" t="str">
        <f t="shared" si="2"/>
        <v>Today is Thursday and we sold 39 Yeti Ramblers.</v>
      </c>
      <c r="F45" s="6">
        <f>_xlfn.RANK.EQ(B45,Sales,0)</f>
        <v>68</v>
      </c>
      <c r="G45" s="6">
        <f t="shared" si="3"/>
        <v>5</v>
      </c>
    </row>
    <row r="46" spans="1:7">
      <c r="A46" s="5">
        <v>43875</v>
      </c>
      <c r="B46" s="11">
        <v>71</v>
      </c>
      <c r="C46" s="6" t="str">
        <f t="shared" si="0"/>
        <v>Friday</v>
      </c>
      <c r="D46" s="6" t="str">
        <f t="shared" si="1"/>
        <v>Fri, Feb 14, 2020 at 12:00 AM</v>
      </c>
      <c r="E46" s="6" t="str">
        <f t="shared" si="2"/>
        <v>Today is Friday and we sold 71 Yeti Ramblers.</v>
      </c>
      <c r="F46" s="6">
        <f>_xlfn.RANK.EQ(B46,Sales,0)</f>
        <v>46</v>
      </c>
      <c r="G46" s="6">
        <f t="shared" si="3"/>
        <v>6</v>
      </c>
    </row>
    <row r="47" spans="1:7">
      <c r="A47" s="5">
        <v>43876</v>
      </c>
      <c r="B47" s="11">
        <v>70</v>
      </c>
      <c r="C47" s="6" t="str">
        <f t="shared" si="0"/>
        <v>Saturday</v>
      </c>
      <c r="D47" s="6" t="str">
        <f t="shared" si="1"/>
        <v>Sat, Feb 15, 2020 at 12:00 AM</v>
      </c>
      <c r="E47" s="6" t="str">
        <f t="shared" si="2"/>
        <v>Today is Saturday and we sold 70 Yeti Ramblers.</v>
      </c>
      <c r="F47" s="6">
        <f>_xlfn.RANK.EQ(B47,Sales,0)</f>
        <v>50</v>
      </c>
      <c r="G47" s="6">
        <f t="shared" si="3"/>
        <v>7</v>
      </c>
    </row>
    <row r="48" spans="1:7">
      <c r="A48" s="5">
        <v>43877</v>
      </c>
      <c r="B48" s="11">
        <v>126</v>
      </c>
      <c r="C48" s="6" t="str">
        <f t="shared" si="0"/>
        <v>Sunday</v>
      </c>
      <c r="D48" s="6" t="str">
        <f t="shared" si="1"/>
        <v>Sun, Feb 16, 2020 at 12:00 AM</v>
      </c>
      <c r="E48" s="6" t="str">
        <f t="shared" si="2"/>
        <v>Today is Sunday and we sold 126 Yeti Ramblers.</v>
      </c>
      <c r="F48" s="6">
        <f>_xlfn.RANK.EQ(B48,Sales,0)</f>
        <v>7</v>
      </c>
      <c r="G48" s="6">
        <f t="shared" si="3"/>
        <v>1</v>
      </c>
    </row>
    <row r="49" spans="1:7">
      <c r="A49" s="5">
        <v>43878</v>
      </c>
      <c r="B49" s="11">
        <v>72</v>
      </c>
      <c r="C49" s="6" t="str">
        <f t="shared" si="0"/>
        <v>Monday</v>
      </c>
      <c r="D49" s="6" t="str">
        <f t="shared" si="1"/>
        <v>Mon, Feb 17, 2020 at 12:00 AM</v>
      </c>
      <c r="E49" s="6" t="str">
        <f t="shared" si="2"/>
        <v>Today is Monday and we sold 72 Yeti Ramblers.</v>
      </c>
      <c r="F49" s="6">
        <f>_xlfn.RANK.EQ(B49,Sales,0)</f>
        <v>42</v>
      </c>
      <c r="G49" s="6">
        <f t="shared" si="3"/>
        <v>2</v>
      </c>
    </row>
    <row r="50" spans="1:7">
      <c r="A50" s="5">
        <v>43879</v>
      </c>
      <c r="B50" s="11">
        <v>71</v>
      </c>
      <c r="C50" s="6" t="str">
        <f t="shared" si="0"/>
        <v>Tuesday</v>
      </c>
      <c r="D50" s="6" t="str">
        <f t="shared" si="1"/>
        <v>Tue, Feb 18, 2020 at 12:00 AM</v>
      </c>
      <c r="E50" s="6" t="str">
        <f t="shared" si="2"/>
        <v>Today is Tuesday and we sold 71 Yeti Ramblers.</v>
      </c>
      <c r="F50" s="6">
        <f>_xlfn.RANK.EQ(B50,Sales,0)</f>
        <v>46</v>
      </c>
      <c r="G50" s="6">
        <f t="shared" si="3"/>
        <v>3</v>
      </c>
    </row>
    <row r="51" spans="1:7">
      <c r="A51" s="5">
        <v>43880</v>
      </c>
      <c r="B51" s="11">
        <v>80</v>
      </c>
      <c r="C51" s="6" t="str">
        <f t="shared" si="0"/>
        <v>Wednesday</v>
      </c>
      <c r="D51" s="6" t="str">
        <f t="shared" si="1"/>
        <v>Wed, Feb 19, 2020 at 12:00 AM</v>
      </c>
      <c r="E51" s="6" t="str">
        <f t="shared" si="2"/>
        <v>Today is Wednesday and we sold 80 Yeti Ramblers.</v>
      </c>
      <c r="F51" s="6">
        <f>_xlfn.RANK.EQ(B51,Sales,0)</f>
        <v>31</v>
      </c>
      <c r="G51" s="6">
        <f t="shared" si="3"/>
        <v>4</v>
      </c>
    </row>
    <row r="52" spans="1:7">
      <c r="A52" s="5">
        <v>43881</v>
      </c>
      <c r="B52" s="11">
        <v>72</v>
      </c>
      <c r="C52" s="6" t="str">
        <f t="shared" si="0"/>
        <v>Thursday</v>
      </c>
      <c r="D52" s="6" t="str">
        <f t="shared" si="1"/>
        <v>Thu, Feb 20, 2020 at 12:00 AM</v>
      </c>
      <c r="E52" s="6" t="str">
        <f t="shared" si="2"/>
        <v>Today is Thursday and we sold 72 Yeti Ramblers.</v>
      </c>
      <c r="F52" s="6">
        <f>_xlfn.RANK.EQ(B52,Sales,0)</f>
        <v>42</v>
      </c>
      <c r="G52" s="6">
        <f t="shared" si="3"/>
        <v>5</v>
      </c>
    </row>
    <row r="53" spans="1:7">
      <c r="A53" s="5">
        <v>43882</v>
      </c>
      <c r="B53" s="11">
        <v>45</v>
      </c>
      <c r="C53" s="6" t="str">
        <f t="shared" si="0"/>
        <v>Friday</v>
      </c>
      <c r="D53" s="6" t="str">
        <f t="shared" si="1"/>
        <v>Fri, Feb 21, 2020 at 12:00 AM</v>
      </c>
      <c r="E53" s="6" t="str">
        <f t="shared" si="2"/>
        <v>Today is Friday and we sold 45 Yeti Ramblers.</v>
      </c>
      <c r="F53" s="6">
        <f>_xlfn.RANK.EQ(B53,Sales,0)</f>
        <v>64</v>
      </c>
      <c r="G53" s="6">
        <f t="shared" si="3"/>
        <v>6</v>
      </c>
    </row>
    <row r="54" spans="1:7">
      <c r="A54" s="5">
        <v>43883</v>
      </c>
      <c r="B54" s="11">
        <v>70</v>
      </c>
      <c r="C54" s="6" t="str">
        <f t="shared" si="0"/>
        <v>Saturday</v>
      </c>
      <c r="D54" s="6" t="str">
        <f t="shared" si="1"/>
        <v>Sat, Feb 22, 2020 at 12:00 AM</v>
      </c>
      <c r="E54" s="6" t="str">
        <f t="shared" si="2"/>
        <v>Today is Saturday and we sold 70 Yeti Ramblers.</v>
      </c>
      <c r="F54" s="6">
        <f>_xlfn.RANK.EQ(B54,Sales,0)</f>
        <v>50</v>
      </c>
      <c r="G54" s="6">
        <f t="shared" si="3"/>
        <v>7</v>
      </c>
    </row>
    <row r="55" spans="1:7">
      <c r="A55" s="5">
        <v>43884</v>
      </c>
      <c r="B55" s="11">
        <v>104</v>
      </c>
      <c r="C55" s="6" t="str">
        <f t="shared" si="0"/>
        <v>Sunday</v>
      </c>
      <c r="D55" s="6" t="str">
        <f t="shared" si="1"/>
        <v>Sun, Feb 23, 2020 at 12:00 AM</v>
      </c>
      <c r="E55" s="6" t="str">
        <f t="shared" si="2"/>
        <v>Today is Sunday and we sold 104 Yeti Ramblers.</v>
      </c>
      <c r="F55" s="6">
        <f>_xlfn.RANK.EQ(B55,Sales,0)</f>
        <v>13</v>
      </c>
      <c r="G55" s="6">
        <f t="shared" si="3"/>
        <v>1</v>
      </c>
    </row>
    <row r="56" spans="1:7">
      <c r="A56" s="5">
        <v>43885</v>
      </c>
      <c r="B56" s="11">
        <v>88</v>
      </c>
      <c r="C56" s="6" t="str">
        <f t="shared" si="0"/>
        <v>Monday</v>
      </c>
      <c r="D56" s="6" t="str">
        <f t="shared" si="1"/>
        <v>Mon, Feb 24, 2020 at 12:00 AM</v>
      </c>
      <c r="E56" s="6" t="str">
        <f t="shared" si="2"/>
        <v>Today is Monday and we sold 88 Yeti Ramblers.</v>
      </c>
      <c r="F56" s="6">
        <f>_xlfn.RANK.EQ(B56,Sales,0)</f>
        <v>21</v>
      </c>
      <c r="G56" s="6">
        <f t="shared" si="3"/>
        <v>2</v>
      </c>
    </row>
    <row r="57" spans="1:7">
      <c r="A57" s="5">
        <v>43886</v>
      </c>
      <c r="B57" s="11">
        <v>82</v>
      </c>
      <c r="C57" s="6" t="str">
        <f t="shared" si="0"/>
        <v>Tuesday</v>
      </c>
      <c r="D57" s="6" t="str">
        <f t="shared" si="1"/>
        <v>Tue, Feb 25, 2020 at 12:00 AM</v>
      </c>
      <c r="E57" s="6" t="str">
        <f t="shared" si="2"/>
        <v>Today is Tuesday and we sold 82 Yeti Ramblers.</v>
      </c>
      <c r="F57" s="6">
        <f>_xlfn.RANK.EQ(B57,Sales,0)</f>
        <v>27</v>
      </c>
      <c r="G57" s="6">
        <f t="shared" si="3"/>
        <v>3</v>
      </c>
    </row>
    <row r="58" spans="1:7">
      <c r="A58" s="5">
        <v>43887</v>
      </c>
      <c r="B58" s="11">
        <v>35</v>
      </c>
      <c r="C58" s="6" t="str">
        <f t="shared" si="0"/>
        <v>Wednesday</v>
      </c>
      <c r="D58" s="6" t="str">
        <f t="shared" si="1"/>
        <v>Wed, Feb 26, 2020 at 12:00 AM</v>
      </c>
      <c r="E58" s="6" t="str">
        <f t="shared" si="2"/>
        <v>Today is Wednesday and we sold 35 Yeti Ramblers.</v>
      </c>
      <c r="F58" s="6">
        <f>_xlfn.RANK.EQ(B58,Sales,0)</f>
        <v>72</v>
      </c>
      <c r="G58" s="6">
        <f t="shared" si="3"/>
        <v>4</v>
      </c>
    </row>
    <row r="59" spans="1:7">
      <c r="A59" s="5">
        <v>43888</v>
      </c>
      <c r="B59" s="11">
        <v>74</v>
      </c>
      <c r="C59" s="6" t="str">
        <f t="shared" si="0"/>
        <v>Thursday</v>
      </c>
      <c r="D59" s="6" t="str">
        <f t="shared" si="1"/>
        <v>Thu, Feb 27, 2020 at 12:00 AM</v>
      </c>
      <c r="E59" s="6" t="str">
        <f t="shared" si="2"/>
        <v>Today is Thursday and we sold 74 Yeti Ramblers.</v>
      </c>
      <c r="F59" s="6">
        <f>_xlfn.RANK.EQ(B59,Sales,0)</f>
        <v>40</v>
      </c>
      <c r="G59" s="6">
        <f t="shared" si="3"/>
        <v>5</v>
      </c>
    </row>
    <row r="60" spans="1:7">
      <c r="A60" s="5">
        <v>43889</v>
      </c>
      <c r="B60" s="11">
        <v>72</v>
      </c>
      <c r="C60" s="6" t="str">
        <f t="shared" si="0"/>
        <v>Friday</v>
      </c>
      <c r="D60" s="6" t="str">
        <f t="shared" si="1"/>
        <v>Fri, Feb 28, 2020 at 12:00 AM</v>
      </c>
      <c r="E60" s="6" t="str">
        <f t="shared" si="2"/>
        <v>Today is Friday and we sold 72 Yeti Ramblers.</v>
      </c>
      <c r="F60" s="6">
        <f>_xlfn.RANK.EQ(B60,Sales,0)</f>
        <v>42</v>
      </c>
      <c r="G60" s="6">
        <f t="shared" si="3"/>
        <v>6</v>
      </c>
    </row>
    <row r="61" spans="1:7">
      <c r="A61" s="5">
        <v>43890</v>
      </c>
      <c r="B61" s="11">
        <v>85</v>
      </c>
      <c r="C61" s="6" t="str">
        <f t="shared" si="0"/>
        <v>Saturday</v>
      </c>
      <c r="D61" s="6" t="str">
        <f t="shared" si="1"/>
        <v>Sat, Feb 29, 2020 at 12:00 AM</v>
      </c>
      <c r="E61" s="6" t="str">
        <f t="shared" si="2"/>
        <v>Today is Saturday and we sold 85 Yeti Ramblers.</v>
      </c>
      <c r="F61" s="6">
        <f>_xlfn.RANK.EQ(B61,Sales,0)</f>
        <v>24</v>
      </c>
      <c r="G61" s="6">
        <f t="shared" si="3"/>
        <v>7</v>
      </c>
    </row>
    <row r="62" spans="1:7">
      <c r="A62" s="5">
        <v>43891</v>
      </c>
      <c r="B62" s="11">
        <v>130</v>
      </c>
      <c r="C62" s="6" t="str">
        <f t="shared" si="0"/>
        <v>Sunday</v>
      </c>
      <c r="D62" s="6" t="str">
        <f t="shared" si="1"/>
        <v>Sun, Mar 1, 2020 at 12:00 AM</v>
      </c>
      <c r="E62" s="6" t="str">
        <f t="shared" si="2"/>
        <v>Today is Sunday and we sold 130 Yeti Ramblers.</v>
      </c>
      <c r="F62" s="6">
        <f>_xlfn.RANK.EQ(B62,Sales,0)</f>
        <v>6</v>
      </c>
      <c r="G62" s="6">
        <f t="shared" si="3"/>
        <v>1</v>
      </c>
    </row>
    <row r="63" spans="1:7">
      <c r="A63" s="5">
        <v>43892</v>
      </c>
      <c r="B63" s="11">
        <v>116</v>
      </c>
      <c r="C63" s="6" t="str">
        <f t="shared" si="0"/>
        <v>Monday</v>
      </c>
      <c r="D63" s="6" t="str">
        <f t="shared" si="1"/>
        <v>Mon, Mar 2, 2020 at 12:00 AM</v>
      </c>
      <c r="E63" s="6" t="str">
        <f t="shared" si="2"/>
        <v>Today is Monday and we sold 116 Yeti Ramblers.</v>
      </c>
      <c r="F63" s="6">
        <f>_xlfn.RANK.EQ(B63,Sales,0)</f>
        <v>10</v>
      </c>
      <c r="G63" s="6">
        <f t="shared" si="3"/>
        <v>2</v>
      </c>
    </row>
    <row r="64" spans="1:7">
      <c r="A64" s="5">
        <v>43893</v>
      </c>
      <c r="B64" s="11">
        <v>88</v>
      </c>
      <c r="C64" s="6" t="str">
        <f t="shared" si="0"/>
        <v>Tuesday</v>
      </c>
      <c r="D64" s="6" t="str">
        <f t="shared" si="1"/>
        <v>Tue, Mar 3, 2020 at 12:00 AM</v>
      </c>
      <c r="E64" s="6" t="str">
        <f t="shared" si="2"/>
        <v>Today is Tuesday and we sold 88 Yeti Ramblers.</v>
      </c>
      <c r="F64" s="6">
        <f>_xlfn.RANK.EQ(B64,Sales,0)</f>
        <v>21</v>
      </c>
      <c r="G64" s="6">
        <f t="shared" si="3"/>
        <v>3</v>
      </c>
    </row>
    <row r="65" spans="1:7">
      <c r="A65" s="5">
        <v>43894</v>
      </c>
      <c r="B65" s="11">
        <v>18</v>
      </c>
      <c r="C65" s="6" t="str">
        <f t="shared" si="0"/>
        <v>Wednesday</v>
      </c>
      <c r="D65" s="6" t="str">
        <f t="shared" si="1"/>
        <v>Wed, Mar 4, 2020 at 12:00 AM</v>
      </c>
      <c r="E65" s="6" t="str">
        <f t="shared" si="2"/>
        <v>Today is Wednesday and we sold 18 Yeti Ramblers.</v>
      </c>
      <c r="F65" s="6">
        <f>_xlfn.RANK.EQ(B65,Sales,0)</f>
        <v>86</v>
      </c>
      <c r="G65" s="6">
        <f t="shared" si="3"/>
        <v>4</v>
      </c>
    </row>
    <row r="66" spans="1:7">
      <c r="A66" s="5">
        <v>43895</v>
      </c>
      <c r="B66" s="11">
        <v>20</v>
      </c>
      <c r="C66" s="6" t="str">
        <f t="shared" si="0"/>
        <v>Thursday</v>
      </c>
      <c r="D66" s="6" t="str">
        <f t="shared" si="1"/>
        <v>Thu, Mar 5, 2020 at 12:00 AM</v>
      </c>
      <c r="E66" s="6" t="str">
        <f t="shared" si="2"/>
        <v>Today is Thursday and we sold 20 Yeti Ramblers.</v>
      </c>
      <c r="F66" s="6">
        <f>_xlfn.RANK.EQ(B66,Sales,0)</f>
        <v>85</v>
      </c>
      <c r="G66" s="6">
        <f t="shared" si="3"/>
        <v>5</v>
      </c>
    </row>
    <row r="67" spans="1:7">
      <c r="A67" s="5">
        <v>43896</v>
      </c>
      <c r="B67" s="11">
        <v>25</v>
      </c>
      <c r="C67" s="6" t="str">
        <f t="shared" ref="C67:C91" si="4">TEXT(A67,"dddd")</f>
        <v>Friday</v>
      </c>
      <c r="D67" s="6" t="str">
        <f t="shared" ref="D67:D91" si="5">TEXT(A67,"ddd, mmm d, yyyy at h:mm AM/PM")</f>
        <v>Fri, Mar 6, 2020 at 12:00 AM</v>
      </c>
      <c r="E67" s="6" t="str">
        <f t="shared" ref="E67:E91" si="6">CONCATENATE("Today is ",C67," and we sold ",B67," Yeti Ramblers.")</f>
        <v>Today is Friday and we sold 25 Yeti Ramblers.</v>
      </c>
      <c r="F67" s="6">
        <f>_xlfn.RANK.EQ(B67,Sales,0)</f>
        <v>82</v>
      </c>
      <c r="G67" s="6">
        <f t="shared" ref="G67:G91" si="7">WEEKDAY(A67,1)</f>
        <v>6</v>
      </c>
    </row>
    <row r="68" spans="1:7">
      <c r="A68" s="5">
        <v>43897</v>
      </c>
      <c r="B68" s="11">
        <v>93</v>
      </c>
      <c r="C68" s="6" t="str">
        <f t="shared" si="4"/>
        <v>Saturday</v>
      </c>
      <c r="D68" s="6" t="str">
        <f t="shared" si="5"/>
        <v>Sat, Mar 7, 2020 at 12:00 AM</v>
      </c>
      <c r="E68" s="6" t="str">
        <f t="shared" si="6"/>
        <v>Today is Saturday and we sold 93 Yeti Ramblers.</v>
      </c>
      <c r="F68" s="6">
        <f>_xlfn.RANK.EQ(B68,Sales,0)</f>
        <v>16</v>
      </c>
      <c r="G68" s="6">
        <f t="shared" si="7"/>
        <v>7</v>
      </c>
    </row>
    <row r="69" spans="1:7">
      <c r="A69" s="5">
        <v>43898</v>
      </c>
      <c r="B69" s="11">
        <v>89</v>
      </c>
      <c r="C69" s="6" t="str">
        <f t="shared" si="4"/>
        <v>Sunday</v>
      </c>
      <c r="D69" s="6" t="str">
        <f t="shared" si="5"/>
        <v>Sun, Mar 8, 2020 at 12:00 AM</v>
      </c>
      <c r="E69" s="6" t="str">
        <f t="shared" si="6"/>
        <v>Today is Sunday and we sold 89 Yeti Ramblers.</v>
      </c>
      <c r="F69" s="6">
        <f>_xlfn.RANK.EQ(B69,Sales,0)</f>
        <v>19</v>
      </c>
      <c r="G69" s="6">
        <f t="shared" si="7"/>
        <v>1</v>
      </c>
    </row>
    <row r="70" spans="1:7">
      <c r="A70" s="5">
        <v>43899</v>
      </c>
      <c r="B70" s="11">
        <v>72</v>
      </c>
      <c r="C70" s="6" t="str">
        <f t="shared" si="4"/>
        <v>Monday</v>
      </c>
      <c r="D70" s="6" t="str">
        <f t="shared" si="5"/>
        <v>Mon, Mar 9, 2020 at 12:00 AM</v>
      </c>
      <c r="E70" s="6" t="str">
        <f t="shared" si="6"/>
        <v>Today is Monday and we sold 72 Yeti Ramblers.</v>
      </c>
      <c r="F70" s="6">
        <f>_xlfn.RANK.EQ(B70,Sales,0)</f>
        <v>42</v>
      </c>
      <c r="G70" s="6">
        <f t="shared" si="7"/>
        <v>2</v>
      </c>
    </row>
    <row r="71" spans="1:7">
      <c r="A71" s="5">
        <v>43900</v>
      </c>
      <c r="B71" s="11">
        <v>29</v>
      </c>
      <c r="C71" s="6" t="str">
        <f t="shared" si="4"/>
        <v>Tuesday</v>
      </c>
      <c r="D71" s="6" t="str">
        <f t="shared" si="5"/>
        <v>Tue, Mar 10, 2020 at 12:00 AM</v>
      </c>
      <c r="E71" s="6" t="str">
        <f t="shared" si="6"/>
        <v>Today is Tuesday and we sold 29 Yeti Ramblers.</v>
      </c>
      <c r="F71" s="6">
        <f>_xlfn.RANK.EQ(B71,Sales,0)</f>
        <v>76</v>
      </c>
      <c r="G71" s="6">
        <f t="shared" si="7"/>
        <v>3</v>
      </c>
    </row>
    <row r="72" spans="1:7">
      <c r="A72" s="5">
        <v>43901</v>
      </c>
      <c r="B72" s="11">
        <v>37</v>
      </c>
      <c r="C72" s="6" t="str">
        <f t="shared" si="4"/>
        <v>Wednesday</v>
      </c>
      <c r="D72" s="6" t="str">
        <f t="shared" si="5"/>
        <v>Wed, Mar 11, 2020 at 12:00 AM</v>
      </c>
      <c r="E72" s="6" t="str">
        <f t="shared" si="6"/>
        <v>Today is Wednesday and we sold 37 Yeti Ramblers.</v>
      </c>
      <c r="F72" s="6">
        <f>_xlfn.RANK.EQ(B72,Sales,0)</f>
        <v>71</v>
      </c>
      <c r="G72" s="6">
        <f t="shared" si="7"/>
        <v>4</v>
      </c>
    </row>
    <row r="73" spans="1:7">
      <c r="A73" s="5">
        <v>43902</v>
      </c>
      <c r="B73" s="11">
        <v>73</v>
      </c>
      <c r="C73" s="6" t="str">
        <f t="shared" si="4"/>
        <v>Thursday</v>
      </c>
      <c r="D73" s="6" t="str">
        <f t="shared" si="5"/>
        <v>Thu, Mar 12, 2020 at 12:00 AM</v>
      </c>
      <c r="E73" s="6" t="str">
        <f t="shared" si="6"/>
        <v>Today is Thursday and we sold 73 Yeti Ramblers.</v>
      </c>
      <c r="F73" s="6">
        <f>_xlfn.RANK.EQ(B73,Sales,0)</f>
        <v>41</v>
      </c>
      <c r="G73" s="6">
        <f t="shared" si="7"/>
        <v>5</v>
      </c>
    </row>
    <row r="74" spans="1:7">
      <c r="A74" s="5">
        <v>43903</v>
      </c>
      <c r="B74" s="11">
        <v>79</v>
      </c>
      <c r="C74" s="6" t="str">
        <f t="shared" si="4"/>
        <v>Friday</v>
      </c>
      <c r="D74" s="6" t="str">
        <f t="shared" si="5"/>
        <v>Fri, Mar 13, 2020 at 12:00 AM</v>
      </c>
      <c r="E74" s="6" t="str">
        <f t="shared" si="6"/>
        <v>Today is Friday and we sold 79 Yeti Ramblers.</v>
      </c>
      <c r="F74" s="6">
        <f>_xlfn.RANK.EQ(B74,Sales,0)</f>
        <v>35</v>
      </c>
      <c r="G74" s="6">
        <f t="shared" si="7"/>
        <v>6</v>
      </c>
    </row>
    <row r="75" spans="1:7">
      <c r="A75" s="5">
        <v>43904</v>
      </c>
      <c r="B75" s="11">
        <v>84</v>
      </c>
      <c r="C75" s="6" t="str">
        <f t="shared" si="4"/>
        <v>Saturday</v>
      </c>
      <c r="D75" s="6" t="str">
        <f t="shared" si="5"/>
        <v>Sat, Mar 14, 2020 at 12:00 AM</v>
      </c>
      <c r="E75" s="6" t="str">
        <f t="shared" si="6"/>
        <v>Today is Saturday and we sold 84 Yeti Ramblers.</v>
      </c>
      <c r="F75" s="6">
        <f>_xlfn.RANK.EQ(B75,Sales,0)</f>
        <v>25</v>
      </c>
      <c r="G75" s="6">
        <f t="shared" si="7"/>
        <v>7</v>
      </c>
    </row>
    <row r="76" spans="1:7">
      <c r="A76" s="5">
        <v>43905</v>
      </c>
      <c r="B76" s="11">
        <v>108</v>
      </c>
      <c r="C76" s="6" t="str">
        <f t="shared" si="4"/>
        <v>Sunday</v>
      </c>
      <c r="D76" s="6" t="str">
        <f t="shared" si="5"/>
        <v>Sun, Mar 15, 2020 at 12:00 AM</v>
      </c>
      <c r="E76" s="6" t="str">
        <f t="shared" si="6"/>
        <v>Today is Sunday and we sold 108 Yeti Ramblers.</v>
      </c>
      <c r="F76" s="6">
        <f>_xlfn.RANK.EQ(B76,Sales,0)</f>
        <v>12</v>
      </c>
      <c r="G76" s="6">
        <f t="shared" si="7"/>
        <v>1</v>
      </c>
    </row>
    <row r="77" spans="1:7">
      <c r="A77" s="5">
        <v>43906</v>
      </c>
      <c r="B77" s="11">
        <v>150</v>
      </c>
      <c r="C77" s="6" t="str">
        <f t="shared" si="4"/>
        <v>Monday</v>
      </c>
      <c r="D77" s="6" t="str">
        <f t="shared" si="5"/>
        <v>Mon, Mar 16, 2020 at 12:00 AM</v>
      </c>
      <c r="E77" s="6" t="str">
        <f t="shared" si="6"/>
        <v>Today is Monday and we sold 150 Yeti Ramblers.</v>
      </c>
      <c r="F77" s="6">
        <f>_xlfn.RANK.EQ(B77,Sales,0)</f>
        <v>1</v>
      </c>
      <c r="G77" s="6">
        <f t="shared" si="7"/>
        <v>2</v>
      </c>
    </row>
    <row r="78" spans="1:7">
      <c r="A78" s="5">
        <v>43907</v>
      </c>
      <c r="B78" s="11">
        <v>35</v>
      </c>
      <c r="C78" s="6" t="str">
        <f t="shared" si="4"/>
        <v>Tuesday</v>
      </c>
      <c r="D78" s="6" t="str">
        <f t="shared" si="5"/>
        <v>Tue, Mar 17, 2020 at 12:00 AM</v>
      </c>
      <c r="E78" s="6" t="str">
        <f t="shared" si="6"/>
        <v>Today is Tuesday and we sold 35 Yeti Ramblers.</v>
      </c>
      <c r="F78" s="6">
        <f>_xlfn.RANK.EQ(B78,Sales,0)</f>
        <v>72</v>
      </c>
      <c r="G78" s="6">
        <f t="shared" si="7"/>
        <v>3</v>
      </c>
    </row>
    <row r="79" spans="1:7">
      <c r="A79" s="5">
        <v>43908</v>
      </c>
      <c r="B79" s="11">
        <v>52</v>
      </c>
      <c r="C79" s="6" t="str">
        <f t="shared" si="4"/>
        <v>Wednesday</v>
      </c>
      <c r="D79" s="6" t="str">
        <f t="shared" si="5"/>
        <v>Wed, Mar 18, 2020 at 12:00 AM</v>
      </c>
      <c r="E79" s="6" t="str">
        <f t="shared" si="6"/>
        <v>Today is Wednesday and we sold 52 Yeti Ramblers.</v>
      </c>
      <c r="F79" s="6">
        <f>_xlfn.RANK.EQ(B79,Sales,0)</f>
        <v>58</v>
      </c>
      <c r="G79" s="6">
        <f t="shared" si="7"/>
        <v>4</v>
      </c>
    </row>
    <row r="80" spans="1:7">
      <c r="A80" s="5">
        <v>43909</v>
      </c>
      <c r="B80" s="11">
        <v>35</v>
      </c>
      <c r="C80" s="6" t="str">
        <f t="shared" si="4"/>
        <v>Thursday</v>
      </c>
      <c r="D80" s="6" t="str">
        <f t="shared" si="5"/>
        <v>Thu, Mar 19, 2020 at 12:00 AM</v>
      </c>
      <c r="E80" s="6" t="str">
        <f t="shared" si="6"/>
        <v>Today is Thursday and we sold 35 Yeti Ramblers.</v>
      </c>
      <c r="F80" s="6">
        <f>_xlfn.RANK.EQ(B80,Sales,0)</f>
        <v>72</v>
      </c>
      <c r="G80" s="6">
        <f t="shared" si="7"/>
        <v>5</v>
      </c>
    </row>
    <row r="81" spans="1:7">
      <c r="A81" s="5">
        <v>43910</v>
      </c>
      <c r="B81" s="11">
        <v>15</v>
      </c>
      <c r="C81" s="6" t="str">
        <f t="shared" si="4"/>
        <v>Friday</v>
      </c>
      <c r="D81" s="6" t="str">
        <f t="shared" si="5"/>
        <v>Fri, Mar 20, 2020 at 12:00 AM</v>
      </c>
      <c r="E81" s="6" t="str">
        <f t="shared" si="6"/>
        <v>Today is Friday and we sold 15 Yeti Ramblers.</v>
      </c>
      <c r="F81" s="6">
        <f>_xlfn.RANK.EQ(B81,Sales,0)</f>
        <v>87</v>
      </c>
      <c r="G81" s="6">
        <f t="shared" si="7"/>
        <v>6</v>
      </c>
    </row>
    <row r="82" spans="1:7">
      <c r="A82" s="5">
        <v>43911</v>
      </c>
      <c r="B82" s="11">
        <v>52</v>
      </c>
      <c r="C82" s="6" t="str">
        <f t="shared" si="4"/>
        <v>Saturday</v>
      </c>
      <c r="D82" s="6" t="str">
        <f t="shared" si="5"/>
        <v>Sat, Mar 21, 2020 at 12:00 AM</v>
      </c>
      <c r="E82" s="6" t="str">
        <f t="shared" si="6"/>
        <v>Today is Saturday and we sold 52 Yeti Ramblers.</v>
      </c>
      <c r="F82" s="6">
        <f>_xlfn.RANK.EQ(B82,Sales,0)</f>
        <v>58</v>
      </c>
      <c r="G82" s="6">
        <f t="shared" si="7"/>
        <v>7</v>
      </c>
    </row>
    <row r="83" spans="1:7">
      <c r="A83" s="5">
        <v>43912</v>
      </c>
      <c r="B83" s="11">
        <v>139</v>
      </c>
      <c r="C83" s="6" t="str">
        <f t="shared" si="4"/>
        <v>Sunday</v>
      </c>
      <c r="D83" s="6" t="str">
        <f t="shared" si="5"/>
        <v>Sun, Mar 22, 2020 at 12:00 AM</v>
      </c>
      <c r="E83" s="6" t="str">
        <f t="shared" si="6"/>
        <v>Today is Sunday and we sold 139 Yeti Ramblers.</v>
      </c>
      <c r="F83" s="6">
        <f>_xlfn.RANK.EQ(B83,Sales,0)</f>
        <v>2</v>
      </c>
      <c r="G83" s="6">
        <f t="shared" si="7"/>
        <v>1</v>
      </c>
    </row>
    <row r="84" spans="1:7">
      <c r="A84" s="5">
        <v>43913</v>
      </c>
      <c r="B84" s="11">
        <v>103</v>
      </c>
      <c r="C84" s="6" t="str">
        <f t="shared" si="4"/>
        <v>Monday</v>
      </c>
      <c r="D84" s="6" t="str">
        <f t="shared" si="5"/>
        <v>Mon, Mar 23, 2020 at 12:00 AM</v>
      </c>
      <c r="E84" s="6" t="str">
        <f t="shared" si="6"/>
        <v>Today is Monday and we sold 103 Yeti Ramblers.</v>
      </c>
      <c r="F84" s="6">
        <f>_xlfn.RANK.EQ(B84,Sales,0)</f>
        <v>14</v>
      </c>
      <c r="G84" s="6">
        <f t="shared" si="7"/>
        <v>2</v>
      </c>
    </row>
    <row r="85" spans="1:7">
      <c r="A85" s="5">
        <v>43914</v>
      </c>
      <c r="B85" s="11">
        <v>67</v>
      </c>
      <c r="C85" s="6" t="str">
        <f t="shared" si="4"/>
        <v>Tuesday</v>
      </c>
      <c r="D85" s="6" t="str">
        <f t="shared" si="5"/>
        <v>Tue, Mar 24, 2020 at 12:00 AM</v>
      </c>
      <c r="E85" s="6" t="str">
        <f t="shared" si="6"/>
        <v>Today is Tuesday and we sold 67 Yeti Ramblers.</v>
      </c>
      <c r="F85" s="6">
        <f>_xlfn.RANK.EQ(B85,Sales,0)</f>
        <v>52</v>
      </c>
      <c r="G85" s="6">
        <f t="shared" si="7"/>
        <v>3</v>
      </c>
    </row>
    <row r="86" spans="1:7">
      <c r="A86" s="5">
        <v>43915</v>
      </c>
      <c r="B86" s="11">
        <v>71</v>
      </c>
      <c r="C86" s="6" t="str">
        <f t="shared" si="4"/>
        <v>Wednesday</v>
      </c>
      <c r="D86" s="6" t="str">
        <f t="shared" si="5"/>
        <v>Wed, Mar 25, 2020 at 12:00 AM</v>
      </c>
      <c r="E86" s="6" t="str">
        <f t="shared" si="6"/>
        <v>Today is Wednesday and we sold 71 Yeti Ramblers.</v>
      </c>
      <c r="F86" s="6">
        <f>_xlfn.RANK.EQ(B86,Sales,0)</f>
        <v>46</v>
      </c>
      <c r="G86" s="6">
        <f t="shared" si="7"/>
        <v>4</v>
      </c>
    </row>
    <row r="87" spans="1:7">
      <c r="A87" s="5">
        <v>43916</v>
      </c>
      <c r="B87" s="11">
        <v>22</v>
      </c>
      <c r="C87" s="6" t="str">
        <f t="shared" si="4"/>
        <v>Thursday</v>
      </c>
      <c r="D87" s="6" t="str">
        <f t="shared" si="5"/>
        <v>Thu, Mar 26, 2020 at 12:00 AM</v>
      </c>
      <c r="E87" s="6" t="str">
        <f t="shared" si="6"/>
        <v>Today is Thursday and we sold 22 Yeti Ramblers.</v>
      </c>
      <c r="F87" s="6">
        <f>_xlfn.RANK.EQ(B87,Sales,0)</f>
        <v>83</v>
      </c>
      <c r="G87" s="6">
        <f t="shared" si="7"/>
        <v>5</v>
      </c>
    </row>
    <row r="88" spans="1:7">
      <c r="A88" s="5">
        <v>43917</v>
      </c>
      <c r="B88" s="11">
        <v>27</v>
      </c>
      <c r="C88" s="6" t="str">
        <f t="shared" si="4"/>
        <v>Friday</v>
      </c>
      <c r="D88" s="6" t="str">
        <f t="shared" si="5"/>
        <v>Fri, Mar 27, 2020 at 12:00 AM</v>
      </c>
      <c r="E88" s="6" t="str">
        <f t="shared" si="6"/>
        <v>Today is Friday and we sold 27 Yeti Ramblers.</v>
      </c>
      <c r="F88" s="6">
        <f>_xlfn.RANK.EQ(B88,Sales,0)</f>
        <v>77</v>
      </c>
      <c r="G88" s="6">
        <f t="shared" si="7"/>
        <v>6</v>
      </c>
    </row>
    <row r="89" spans="1:7">
      <c r="A89" s="5">
        <v>43918</v>
      </c>
      <c r="B89" s="11">
        <v>44</v>
      </c>
      <c r="C89" s="6" t="str">
        <f t="shared" si="4"/>
        <v>Saturday</v>
      </c>
      <c r="D89" s="6" t="str">
        <f t="shared" si="5"/>
        <v>Sat, Mar 28, 2020 at 12:00 AM</v>
      </c>
      <c r="E89" s="6" t="str">
        <f t="shared" si="6"/>
        <v>Today is Saturday and we sold 44 Yeti Ramblers.</v>
      </c>
      <c r="F89" s="6">
        <f>_xlfn.RANK.EQ(B89,Sales,0)</f>
        <v>66</v>
      </c>
      <c r="G89" s="6">
        <f t="shared" si="7"/>
        <v>7</v>
      </c>
    </row>
    <row r="90" spans="1:7">
      <c r="A90" s="5">
        <v>43919</v>
      </c>
      <c r="B90" s="11">
        <v>86</v>
      </c>
      <c r="C90" s="6" t="str">
        <f t="shared" si="4"/>
        <v>Sunday</v>
      </c>
      <c r="D90" s="6" t="str">
        <f t="shared" si="5"/>
        <v>Sun, Mar 29, 2020 at 12:00 AM</v>
      </c>
      <c r="E90" s="6" t="str">
        <f t="shared" si="6"/>
        <v>Today is Sunday and we sold 86 Yeti Ramblers.</v>
      </c>
      <c r="F90" s="6">
        <f>_xlfn.RANK.EQ(B90,Sales,0)</f>
        <v>23</v>
      </c>
      <c r="G90" s="6">
        <f t="shared" si="7"/>
        <v>1</v>
      </c>
    </row>
    <row r="91" spans="1:7">
      <c r="A91" s="5">
        <v>43920</v>
      </c>
      <c r="B91" s="11">
        <v>83</v>
      </c>
      <c r="C91" s="6" t="str">
        <f t="shared" si="4"/>
        <v>Monday</v>
      </c>
      <c r="D91" s="6" t="str">
        <f t="shared" si="5"/>
        <v>Mon, Mar 30, 2020 at 12:00 AM</v>
      </c>
      <c r="E91" s="6" t="str">
        <f t="shared" si="6"/>
        <v>Today is Monday and we sold 83 Yeti Ramblers.</v>
      </c>
      <c r="F91" s="6">
        <f>_xlfn.RANK.EQ(B91,Sales,0)</f>
        <v>26</v>
      </c>
      <c r="G91" s="6">
        <f t="shared" si="7"/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6D0D-F073-4298-8630-53062855D65C}">
  <dimension ref="A1:I41"/>
  <sheetViews>
    <sheetView topLeftCell="A19" workbookViewId="0">
      <selection activeCell="G22" sqref="G22"/>
    </sheetView>
  </sheetViews>
  <sheetFormatPr defaultRowHeight="14.45"/>
  <cols>
    <col min="1" max="1" width="11.42578125" style="2" bestFit="1" customWidth="1"/>
    <col min="2" max="2" width="19" style="2" customWidth="1"/>
    <col min="3" max="3" width="19.5703125" style="2" bestFit="1" customWidth="1"/>
    <col min="4" max="4" width="8.28515625" style="2" customWidth="1"/>
    <col min="5" max="5" width="18.140625" style="2" bestFit="1" customWidth="1"/>
    <col min="7" max="7" width="20" style="2" customWidth="1"/>
  </cols>
  <sheetData>
    <row r="1" spans="1:8" ht="28.9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G1" s="15" t="s">
        <v>12</v>
      </c>
      <c r="H1" s="14"/>
    </row>
    <row r="2" spans="1:8">
      <c r="A2" s="6">
        <f>ROUND(AVERAGE(Sales),1)</f>
        <v>68.2</v>
      </c>
      <c r="B2" s="6">
        <f>MIN(Sales)</f>
        <v>15</v>
      </c>
      <c r="C2" s="6">
        <f>MAX(Sales)</f>
        <v>150</v>
      </c>
      <c r="D2" s="6">
        <f>MEDIAN(Sales)</f>
        <v>71.5</v>
      </c>
      <c r="E2" s="6">
        <f>ROUND(_xlfn.STDEV.S(Sales),1)</f>
        <v>33.299999999999997</v>
      </c>
      <c r="G2"/>
    </row>
    <row r="3" spans="1:8">
      <c r="G3" t="s">
        <v>13</v>
      </c>
      <c r="H3">
        <v>68.166666666666671</v>
      </c>
    </row>
    <row r="4" spans="1:8">
      <c r="G4" t="s">
        <v>14</v>
      </c>
      <c r="H4">
        <v>3.5121423049951757</v>
      </c>
    </row>
    <row r="5" spans="1:8">
      <c r="A5" s="7" t="s">
        <v>15</v>
      </c>
      <c r="B5" s="7" t="s">
        <v>16</v>
      </c>
      <c r="C5" s="7" t="s">
        <v>17</v>
      </c>
      <c r="D5" s="7" t="s">
        <v>7</v>
      </c>
      <c r="G5" t="s">
        <v>10</v>
      </c>
      <c r="H5">
        <v>71.5</v>
      </c>
    </row>
    <row r="6" spans="1:8">
      <c r="A6" s="6" t="s">
        <v>18</v>
      </c>
      <c r="B6" s="6">
        <f>COUNTIF(DayOfWeek,A6)</f>
        <v>13</v>
      </c>
      <c r="C6" s="6">
        <f>SUMIF(DayOfWeek,A6,Sales)</f>
        <v>1438</v>
      </c>
      <c r="D6" s="6">
        <f>ROUND(AVERAGEIF(DayOfWeek,A6,Sales),1)</f>
        <v>110.6</v>
      </c>
      <c r="G6" t="s">
        <v>19</v>
      </c>
      <c r="H6">
        <v>80</v>
      </c>
    </row>
    <row r="7" spans="1:8">
      <c r="A7" s="6" t="s">
        <v>20</v>
      </c>
      <c r="B7" s="6">
        <f>COUNTIF(DayOfWeek,A7)</f>
        <v>13</v>
      </c>
      <c r="C7" s="6">
        <f>SUMIF(DayOfWeek,A7,Sales)</f>
        <v>1307</v>
      </c>
      <c r="D7" s="6">
        <f>ROUND(AVERAGEIF(DayOfWeek,A7,Sales),1)</f>
        <v>100.5</v>
      </c>
      <c r="G7" t="s">
        <v>21</v>
      </c>
      <c r="H7">
        <v>33.319107451255569</v>
      </c>
    </row>
    <row r="8" spans="1:8">
      <c r="A8" s="6" t="s">
        <v>22</v>
      </c>
      <c r="B8" s="6">
        <f>COUNTIF(DayOfWeek,A8)</f>
        <v>12</v>
      </c>
      <c r="C8" s="6">
        <f>SUMIF(DayOfWeek,A8,Sales)</f>
        <v>681</v>
      </c>
      <c r="D8" s="6">
        <f>ROUND(AVERAGEIF(DayOfWeek,A8,Sales),1)</f>
        <v>56.8</v>
      </c>
      <c r="G8" t="s">
        <v>23</v>
      </c>
      <c r="H8">
        <v>1110.1629213483145</v>
      </c>
    </row>
    <row r="9" spans="1:8">
      <c r="A9" s="6" t="s">
        <v>24</v>
      </c>
      <c r="B9" s="6">
        <f>COUNTIF(DayOfWeek,A9)</f>
        <v>13</v>
      </c>
      <c r="C9" s="6">
        <f>SUMIF(DayOfWeek,A9,Sales)</f>
        <v>572</v>
      </c>
      <c r="D9" s="6">
        <f>ROUND(AVERAGEIF(DayOfWeek,A9,Sales),1)</f>
        <v>44</v>
      </c>
      <c r="G9" t="s">
        <v>25</v>
      </c>
      <c r="H9">
        <v>-0.45329252763601513</v>
      </c>
    </row>
    <row r="10" spans="1:8">
      <c r="A10" s="6" t="s">
        <v>26</v>
      </c>
      <c r="B10" s="6">
        <f>COUNTIF(DayOfWeek,A10)</f>
        <v>13</v>
      </c>
      <c r="C10" s="6">
        <f>SUMIF(DayOfWeek,A10,Sales)</f>
        <v>560</v>
      </c>
      <c r="D10" s="6">
        <f>ROUND(AVERAGEIF(DayOfWeek,A10,Sales),1)</f>
        <v>43.1</v>
      </c>
      <c r="G10" t="s">
        <v>27</v>
      </c>
      <c r="H10">
        <v>0.34292128185124499</v>
      </c>
    </row>
    <row r="11" spans="1:8">
      <c r="A11" s="6" t="s">
        <v>28</v>
      </c>
      <c r="B11" s="6">
        <f>COUNTIF(DayOfWeek,A11)</f>
        <v>13</v>
      </c>
      <c r="C11" s="6">
        <f>SUMIF(DayOfWeek,A11,Sales)</f>
        <v>653</v>
      </c>
      <c r="D11" s="6">
        <f>ROUND(AVERAGEIF(DayOfWeek,A11,Sales),1)</f>
        <v>50.2</v>
      </c>
      <c r="G11" t="s">
        <v>29</v>
      </c>
      <c r="H11">
        <v>135</v>
      </c>
    </row>
    <row r="12" spans="1:8">
      <c r="A12" s="6" t="s">
        <v>30</v>
      </c>
      <c r="B12" s="6">
        <f>COUNTIF(DayOfWeek,A12)</f>
        <v>13</v>
      </c>
      <c r="C12" s="6">
        <f>SUMIF(DayOfWeek,A12,Sales)</f>
        <v>924</v>
      </c>
      <c r="D12" s="6">
        <f>ROUND(AVERAGEIF(DayOfWeek,A12,Sales),1)</f>
        <v>71.099999999999994</v>
      </c>
      <c r="G12" t="s">
        <v>8</v>
      </c>
      <c r="H12">
        <v>15</v>
      </c>
    </row>
    <row r="13" spans="1:8">
      <c r="G13" t="s">
        <v>9</v>
      </c>
      <c r="H13">
        <v>150</v>
      </c>
    </row>
    <row r="14" spans="1:8">
      <c r="G14" t="s">
        <v>17</v>
      </c>
      <c r="H14">
        <v>6135</v>
      </c>
    </row>
    <row r="15" spans="1:8">
      <c r="B15" s="18" t="s">
        <v>31</v>
      </c>
      <c r="C15" s="18"/>
      <c r="D15" s="8"/>
      <c r="G15" t="s">
        <v>32</v>
      </c>
      <c r="H15">
        <v>90</v>
      </c>
    </row>
    <row r="16" spans="1:8">
      <c r="B16" s="9" t="s">
        <v>33</v>
      </c>
      <c r="C16" s="9" t="s">
        <v>34</v>
      </c>
      <c r="G16" t="s">
        <v>35</v>
      </c>
      <c r="H16">
        <v>150</v>
      </c>
    </row>
    <row r="17" spans="1:9" ht="15" thickBot="1">
      <c r="A17" s="6">
        <v>1</v>
      </c>
      <c r="B17" s="6">
        <f>LARGE(Sales,A17)</f>
        <v>150</v>
      </c>
      <c r="C17" s="6">
        <f>SMALL(Sales,A17)</f>
        <v>15</v>
      </c>
      <c r="G17" s="12" t="s">
        <v>36</v>
      </c>
      <c r="H17" s="12">
        <v>15</v>
      </c>
    </row>
    <row r="18" spans="1:9">
      <c r="A18" s="6">
        <v>2</v>
      </c>
      <c r="B18" s="6">
        <f>LARGE(Sales,A18)</f>
        <v>139</v>
      </c>
      <c r="C18" s="6">
        <f>SMALL(Sales,A18)</f>
        <v>15</v>
      </c>
    </row>
    <row r="19" spans="1:9">
      <c r="A19" s="6">
        <v>3</v>
      </c>
      <c r="B19" s="6">
        <f>LARGE(Sales,A19)</f>
        <v>138</v>
      </c>
      <c r="C19" s="6">
        <f>SMALL(Sales,A19)</f>
        <v>15</v>
      </c>
    </row>
    <row r="20" spans="1:9">
      <c r="A20" s="6">
        <v>4</v>
      </c>
      <c r="B20" s="6">
        <f>LARGE(Sales,A20)</f>
        <v>132</v>
      </c>
      <c r="C20" s="6">
        <f>SMALL(Sales,A20)</f>
        <v>15</v>
      </c>
    </row>
    <row r="21" spans="1:9">
      <c r="A21" s="6">
        <v>5</v>
      </c>
      <c r="B21" s="6">
        <f>LARGE(Sales,A21)</f>
        <v>131</v>
      </c>
      <c r="C21" s="6">
        <f>SMALL(Sales,A21)</f>
        <v>18</v>
      </c>
    </row>
    <row r="23" spans="1:9" ht="15" thickBot="1"/>
    <row r="24" spans="1:9" ht="28.9">
      <c r="A24" s="4" t="s">
        <v>37</v>
      </c>
      <c r="B24" s="4" t="s">
        <v>38</v>
      </c>
      <c r="C24" s="4" t="s">
        <v>39</v>
      </c>
      <c r="G24" s="13" t="s">
        <v>40</v>
      </c>
      <c r="H24" s="13" t="s">
        <v>41</v>
      </c>
      <c r="I24" s="13" t="s">
        <v>42</v>
      </c>
    </row>
    <row r="25" spans="1:9">
      <c r="A25" s="6">
        <v>10</v>
      </c>
      <c r="B25" s="6">
        <f t="array" ref="B25:B40">FREQUENCY(Sales,A25:A40)</f>
        <v>0</v>
      </c>
      <c r="C25" s="10" t="s">
        <v>43</v>
      </c>
      <c r="G25">
        <v>10</v>
      </c>
      <c r="H25">
        <v>0</v>
      </c>
      <c r="I25" s="16">
        <v>0</v>
      </c>
    </row>
    <row r="26" spans="1:9">
      <c r="A26" s="6">
        <v>20</v>
      </c>
      <c r="B26" s="6">
        <v>6</v>
      </c>
      <c r="C26" s="6">
        <f>COUNTIF(Sales,"&lt;="&amp;A26)</f>
        <v>6</v>
      </c>
      <c r="G26">
        <v>20</v>
      </c>
      <c r="H26">
        <v>6</v>
      </c>
      <c r="I26" s="16">
        <v>6.6666666666666666E-2</v>
      </c>
    </row>
    <row r="27" spans="1:9">
      <c r="A27" s="6">
        <v>30</v>
      </c>
      <c r="B27" s="6">
        <v>9</v>
      </c>
      <c r="C27" s="6">
        <f>COUNTIF(Sales,"&lt;="&amp;A27)</f>
        <v>15</v>
      </c>
      <c r="G27">
        <v>30</v>
      </c>
      <c r="H27">
        <v>9</v>
      </c>
      <c r="I27" s="16">
        <v>0.16666666666666666</v>
      </c>
    </row>
    <row r="28" spans="1:9">
      <c r="A28" s="6">
        <v>40</v>
      </c>
      <c r="B28" s="6">
        <v>8</v>
      </c>
      <c r="C28" s="6">
        <f>COUNTIF(Sales,"&lt;="&amp;A28)</f>
        <v>23</v>
      </c>
      <c r="G28">
        <v>40</v>
      </c>
      <c r="H28">
        <v>8</v>
      </c>
      <c r="I28" s="16">
        <v>0.25555555555555554</v>
      </c>
    </row>
    <row r="29" spans="1:9">
      <c r="A29" s="6">
        <v>50</v>
      </c>
      <c r="B29" s="6">
        <v>8</v>
      </c>
      <c r="C29" s="6">
        <f>COUNTIF(Sales,"&lt;="&amp;A29)</f>
        <v>31</v>
      </c>
      <c r="G29">
        <v>50</v>
      </c>
      <c r="H29">
        <v>8</v>
      </c>
      <c r="I29" s="16">
        <v>0.34444444444444444</v>
      </c>
    </row>
    <row r="30" spans="1:9">
      <c r="A30" s="6">
        <v>60</v>
      </c>
      <c r="B30" s="6">
        <v>7</v>
      </c>
      <c r="C30" s="6">
        <f>COUNTIF(Sales,"&lt;="&amp;A30)</f>
        <v>38</v>
      </c>
      <c r="G30">
        <v>60</v>
      </c>
      <c r="H30">
        <v>7</v>
      </c>
      <c r="I30" s="16">
        <v>0.42222222222222222</v>
      </c>
    </row>
    <row r="31" spans="1:9">
      <c r="A31" s="6">
        <v>70</v>
      </c>
      <c r="B31" s="6">
        <v>3</v>
      </c>
      <c r="C31" s="6">
        <f>COUNTIF(Sales,"&lt;="&amp;A31)</f>
        <v>41</v>
      </c>
      <c r="G31">
        <v>70</v>
      </c>
      <c r="H31">
        <v>3</v>
      </c>
      <c r="I31" s="16">
        <v>0.45555555555555555</v>
      </c>
    </row>
    <row r="32" spans="1:9">
      <c r="A32" s="6">
        <v>80</v>
      </c>
      <c r="B32" s="6">
        <v>19</v>
      </c>
      <c r="C32" s="6">
        <f>COUNTIF(Sales,"&lt;="&amp;A32)</f>
        <v>60</v>
      </c>
      <c r="G32">
        <v>80</v>
      </c>
      <c r="H32">
        <v>19</v>
      </c>
      <c r="I32" s="16">
        <v>0.66666666666666663</v>
      </c>
    </row>
    <row r="33" spans="1:9">
      <c r="A33" s="6">
        <v>90</v>
      </c>
      <c r="B33" s="6">
        <v>12</v>
      </c>
      <c r="C33" s="6">
        <f>COUNTIF(Sales,"&lt;="&amp;A33)</f>
        <v>72</v>
      </c>
      <c r="G33">
        <v>90</v>
      </c>
      <c r="H33">
        <v>12</v>
      </c>
      <c r="I33" s="16">
        <v>0.8</v>
      </c>
    </row>
    <row r="34" spans="1:9">
      <c r="A34" s="6">
        <v>100</v>
      </c>
      <c r="B34" s="6">
        <v>4</v>
      </c>
      <c r="C34" s="6">
        <f>COUNTIF(Sales,"&lt;="&amp;A34)</f>
        <v>76</v>
      </c>
      <c r="G34">
        <v>100</v>
      </c>
      <c r="H34">
        <v>4</v>
      </c>
      <c r="I34" s="16">
        <v>0.84444444444444444</v>
      </c>
    </row>
    <row r="35" spans="1:9">
      <c r="A35" s="6">
        <v>110</v>
      </c>
      <c r="B35" s="6">
        <v>3</v>
      </c>
      <c r="C35" s="6">
        <f>COUNTIF(Sales,"&lt;="&amp;A35)</f>
        <v>79</v>
      </c>
      <c r="G35">
        <v>110</v>
      </c>
      <c r="H35">
        <v>3</v>
      </c>
      <c r="I35" s="16">
        <v>0.87777777777777777</v>
      </c>
    </row>
    <row r="36" spans="1:9">
      <c r="A36" s="6">
        <v>120</v>
      </c>
      <c r="B36" s="6">
        <v>2</v>
      </c>
      <c r="C36" s="6">
        <f>COUNTIF(Sales,"&lt;="&amp;A36)</f>
        <v>81</v>
      </c>
      <c r="G36">
        <v>120</v>
      </c>
      <c r="H36">
        <v>2</v>
      </c>
      <c r="I36" s="16">
        <v>0.9</v>
      </c>
    </row>
    <row r="37" spans="1:9">
      <c r="A37" s="6">
        <v>130</v>
      </c>
      <c r="B37" s="6">
        <v>4</v>
      </c>
      <c r="C37" s="6">
        <f>COUNTIF(Sales,"&lt;="&amp;A37)</f>
        <v>85</v>
      </c>
      <c r="G37">
        <v>130</v>
      </c>
      <c r="H37">
        <v>4</v>
      </c>
      <c r="I37" s="16">
        <v>0.94444444444444442</v>
      </c>
    </row>
    <row r="38" spans="1:9">
      <c r="A38" s="6">
        <v>140</v>
      </c>
      <c r="B38" s="6">
        <v>4</v>
      </c>
      <c r="C38" s="6">
        <f>COUNTIF(Sales,"&lt;="&amp;A38)</f>
        <v>89</v>
      </c>
      <c r="G38">
        <v>140</v>
      </c>
      <c r="H38">
        <v>4</v>
      </c>
      <c r="I38" s="16">
        <v>0.98888888888888893</v>
      </c>
    </row>
    <row r="39" spans="1:9">
      <c r="A39" s="6">
        <v>150</v>
      </c>
      <c r="B39" s="6">
        <v>1</v>
      </c>
      <c r="C39" s="6">
        <f>COUNTIF(Sales,"&lt;="&amp;A39)</f>
        <v>90</v>
      </c>
      <c r="G39">
        <v>150</v>
      </c>
      <c r="H39">
        <v>1</v>
      </c>
      <c r="I39" s="16">
        <v>1</v>
      </c>
    </row>
    <row r="40" spans="1:9">
      <c r="A40" s="6">
        <v>160</v>
      </c>
      <c r="B40" s="6">
        <v>0</v>
      </c>
      <c r="C40" s="6">
        <f>COUNTIF(Sales,"&lt;="&amp;A40)</f>
        <v>90</v>
      </c>
      <c r="G40">
        <v>160</v>
      </c>
      <c r="H40">
        <v>0</v>
      </c>
      <c r="I40" s="16">
        <v>1</v>
      </c>
    </row>
    <row r="41" spans="1:9" ht="15" thickBot="1">
      <c r="G41" s="12" t="s">
        <v>44</v>
      </c>
      <c r="H41" s="12">
        <v>0</v>
      </c>
      <c r="I41" s="17">
        <v>1</v>
      </c>
    </row>
  </sheetData>
  <sortState xmlns:xlrd2="http://schemas.microsoft.com/office/spreadsheetml/2017/richdata2" ref="G25:G40">
    <sortCondition ref="G25"/>
  </sortState>
  <mergeCells count="1">
    <mergeCell ref="B15:C15"/>
  </mergeCells>
  <pageMargins left="0.7" right="0.7" top="0.75" bottom="0.75" header="0.3" footer="0.3"/>
  <pageSetup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497B8ADA-EFE4-49EE-A7FB-2B86B668178E}">
          <xm:f>Statistics!1:1048576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8521C337E304C98B20FCF07C6BA7D" ma:contentTypeVersion="4" ma:contentTypeDescription="Create a new document." ma:contentTypeScope="" ma:versionID="e54a8dbaa1f5690497a1af6baa00e574">
  <xsd:schema xmlns:xsd="http://www.w3.org/2001/XMLSchema" xmlns:xs="http://www.w3.org/2001/XMLSchema" xmlns:p="http://schemas.microsoft.com/office/2006/metadata/properties" xmlns:ns3="52073ef3-e963-427c-a197-43a7f86e45d1" targetNamespace="http://schemas.microsoft.com/office/2006/metadata/properties" ma:root="true" ma:fieldsID="0091d58883f0767deec8e05896652ab7" ns3:_="">
    <xsd:import namespace="52073ef3-e963-427c-a197-43a7f86e45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3ef3-e963-427c-a197-43a7f86e4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enna xmlns="http://customxml.org">
  <kers>zvn1CaKzz9cv714lyuC/BZr3ubCMWrlSkoHJ7ATaySs=</kers>
  <massa>1/23/2024 9:21:49 PM</massa>
  <hamilton>true</hamilton>
</senna>
</file>

<file path=customXml/itemProps1.xml><?xml version="1.0" encoding="utf-8"?>
<ds:datastoreItem xmlns:ds="http://schemas.openxmlformats.org/officeDocument/2006/customXml" ds:itemID="{DA01427B-2D4B-4D1E-8BBD-D7B34C0B022B}"/>
</file>

<file path=customXml/itemProps2.xml><?xml version="1.0" encoding="utf-8"?>
<ds:datastoreItem xmlns:ds="http://schemas.openxmlformats.org/officeDocument/2006/customXml" ds:itemID="{60A19981-314E-456B-8A85-E6F25E7A0417}"/>
</file>

<file path=customXml/itemProps3.xml><?xml version="1.0" encoding="utf-8"?>
<ds:datastoreItem xmlns:ds="http://schemas.openxmlformats.org/officeDocument/2006/customXml" ds:itemID="{92830128-C87D-4338-84D4-216C5C01A7DD}"/>
</file>

<file path=customXml/itemProps4.xml><?xml version="1.0" encoding="utf-8"?>
<ds:datastoreItem xmlns:ds="http://schemas.openxmlformats.org/officeDocument/2006/customXml" ds:itemID="{DC9CD55A-BD5B-4101-96CE-635D786D7A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2020-06-29T17:06:27Z</dcterms:created>
  <dcterms:modified xsi:type="dcterms:W3CDTF">2024-04-18T02:48:37Z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0x0101004E38521C337E304C98B20FCF07C6BA7D</vt:lpwstr>
  </property>
</Properties>
</file>