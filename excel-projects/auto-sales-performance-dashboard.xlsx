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lia\Downloads\Spreadsheets for Business- Spring 2024\Caliana Sunes Excel Projects\"/>
    </mc:Choice>
  </mc:AlternateContent>
  <xr:revisionPtr revIDLastSave="0" documentId="8_{B891D880-AE32-47B2-8A14-2C0AF7821DB5}" xr6:coauthVersionLast="47" xr6:coauthVersionMax="47" xr10:uidLastSave="{00000000-0000-0000-0000-000000000000}"/>
  <bookViews>
    <workbookView xWindow="2268" yWindow="2268" windowWidth="17280" windowHeight="8880" activeTab="4" xr2:uid="{00000000-000D-0000-FFFF-FFFF00000000}"/>
  </bookViews>
  <sheets>
    <sheet name="Q1 Actual" sheetId="1" r:id="rId1"/>
    <sheet name="Q2" sheetId="6" r:id="rId2"/>
    <sheet name="Q3" sheetId="7" r:id="rId3"/>
    <sheet name="Q4" sheetId="8" r:id="rId4"/>
    <sheet name="Summary" sheetId="2" r:id="rId5"/>
  </sheets>
  <definedNames>
    <definedName name="Semester">"2024 Spring"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17" i="2"/>
  <c r="E25" i="2" s="1"/>
  <c r="G3" i="1"/>
  <c r="C25" i="2"/>
  <c r="F25" i="2"/>
  <c r="I4" i="8"/>
  <c r="F3" i="2"/>
  <c r="I4" i="6"/>
  <c r="I3" i="6"/>
  <c r="G5" i="2"/>
  <c r="G6" i="2"/>
  <c r="G7" i="2"/>
  <c r="G8" i="2"/>
  <c r="G9" i="2"/>
  <c r="G10" i="2"/>
  <c r="G11" i="2"/>
  <c r="G12" i="2"/>
  <c r="G13" i="2"/>
  <c r="G14" i="2"/>
  <c r="G16" i="2"/>
  <c r="G18" i="2"/>
  <c r="G19" i="2"/>
  <c r="G20" i="2"/>
  <c r="G21" i="2"/>
  <c r="G22" i="2"/>
  <c r="G2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3" i="2"/>
  <c r="D4" i="2"/>
  <c r="G4" i="2" s="1"/>
  <c r="D5" i="2"/>
  <c r="D6" i="2"/>
  <c r="D7" i="2"/>
  <c r="D8" i="2"/>
  <c r="D9" i="2"/>
  <c r="D10" i="2"/>
  <c r="D11" i="2"/>
  <c r="D12" i="2"/>
  <c r="D13" i="2"/>
  <c r="D14" i="2"/>
  <c r="D16" i="2"/>
  <c r="D17" i="2"/>
  <c r="D18" i="2"/>
  <c r="D19" i="2"/>
  <c r="D20" i="2"/>
  <c r="D21" i="2"/>
  <c r="D22" i="2"/>
  <c r="D23" i="2"/>
  <c r="D3" i="2"/>
  <c r="G3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3" i="8"/>
  <c r="D8" i="7"/>
  <c r="D9" i="7"/>
  <c r="D10" i="7"/>
  <c r="D11" i="7"/>
  <c r="D20" i="7"/>
  <c r="D21" i="7"/>
  <c r="D22" i="7"/>
  <c r="D23" i="7"/>
  <c r="D8" i="6"/>
  <c r="D9" i="6"/>
  <c r="D10" i="6"/>
  <c r="D11" i="6"/>
  <c r="D12" i="6"/>
  <c r="D13" i="6"/>
  <c r="D14" i="6"/>
  <c r="D20" i="6"/>
  <c r="D21" i="6"/>
  <c r="D22" i="6"/>
  <c r="D23" i="6"/>
  <c r="D3" i="6"/>
  <c r="C25" i="1"/>
  <c r="D4" i="1" s="1"/>
  <c r="B37" i="8"/>
  <c r="G30" i="8"/>
  <c r="C28" i="8"/>
  <c r="C27" i="8"/>
  <c r="F26" i="8"/>
  <c r="E26" i="8"/>
  <c r="C26" i="8"/>
  <c r="C25" i="8"/>
  <c r="I23" i="8"/>
  <c r="H23" i="8"/>
  <c r="G23" i="8"/>
  <c r="I22" i="8"/>
  <c r="H22" i="8"/>
  <c r="G22" i="8"/>
  <c r="I21" i="8"/>
  <c r="H21" i="8"/>
  <c r="G21" i="8"/>
  <c r="I20" i="8"/>
  <c r="H20" i="8"/>
  <c r="G20" i="8"/>
  <c r="I19" i="8"/>
  <c r="H19" i="8"/>
  <c r="G19" i="8"/>
  <c r="I18" i="8"/>
  <c r="H18" i="8"/>
  <c r="G18" i="8"/>
  <c r="I17" i="8"/>
  <c r="H17" i="8"/>
  <c r="G17" i="8"/>
  <c r="I16" i="8"/>
  <c r="H16" i="8"/>
  <c r="G16" i="8"/>
  <c r="I15" i="8"/>
  <c r="H15" i="8"/>
  <c r="G15" i="8"/>
  <c r="I14" i="8"/>
  <c r="H14" i="8"/>
  <c r="G14" i="8"/>
  <c r="I13" i="8"/>
  <c r="H13" i="8"/>
  <c r="G13" i="8"/>
  <c r="I12" i="8"/>
  <c r="H12" i="8"/>
  <c r="G12" i="8"/>
  <c r="I11" i="8"/>
  <c r="H11" i="8"/>
  <c r="G11" i="8"/>
  <c r="I10" i="8"/>
  <c r="H10" i="8"/>
  <c r="G10" i="8"/>
  <c r="I9" i="8"/>
  <c r="H9" i="8"/>
  <c r="G9" i="8"/>
  <c r="I8" i="8"/>
  <c r="H8" i="8"/>
  <c r="G8" i="8"/>
  <c r="I7" i="8"/>
  <c r="H7" i="8"/>
  <c r="G7" i="8"/>
  <c r="I6" i="8"/>
  <c r="H6" i="8"/>
  <c r="G6" i="8"/>
  <c r="I5" i="8"/>
  <c r="I25" i="8" s="1"/>
  <c r="H5" i="8"/>
  <c r="H25" i="8" s="1"/>
  <c r="G5" i="8"/>
  <c r="H4" i="8"/>
  <c r="G4" i="8"/>
  <c r="I3" i="8"/>
  <c r="H3" i="8"/>
  <c r="G3" i="8"/>
  <c r="B37" i="7"/>
  <c r="G30" i="7"/>
  <c r="C28" i="7"/>
  <c r="C27" i="7"/>
  <c r="F26" i="7"/>
  <c r="E26" i="7"/>
  <c r="C26" i="7"/>
  <c r="C25" i="7"/>
  <c r="D12" i="7" s="1"/>
  <c r="I23" i="7"/>
  <c r="H23" i="7"/>
  <c r="G23" i="7"/>
  <c r="I22" i="7"/>
  <c r="H22" i="7"/>
  <c r="G22" i="7"/>
  <c r="I21" i="7"/>
  <c r="H21" i="7"/>
  <c r="G21" i="7"/>
  <c r="I20" i="7"/>
  <c r="H20" i="7"/>
  <c r="G20" i="7"/>
  <c r="I19" i="7"/>
  <c r="H19" i="7"/>
  <c r="G19" i="7"/>
  <c r="I18" i="7"/>
  <c r="H18" i="7"/>
  <c r="G18" i="7"/>
  <c r="I17" i="7"/>
  <c r="H17" i="7"/>
  <c r="G17" i="7"/>
  <c r="I16" i="7"/>
  <c r="H16" i="7"/>
  <c r="G16" i="7"/>
  <c r="I15" i="7"/>
  <c r="H15" i="7"/>
  <c r="G15" i="7"/>
  <c r="I14" i="7"/>
  <c r="H14" i="7"/>
  <c r="G14" i="7"/>
  <c r="I13" i="7"/>
  <c r="H13" i="7"/>
  <c r="G13" i="7"/>
  <c r="I12" i="7"/>
  <c r="H12" i="7"/>
  <c r="G12" i="7"/>
  <c r="I11" i="7"/>
  <c r="H11" i="7"/>
  <c r="G11" i="7"/>
  <c r="I10" i="7"/>
  <c r="H10" i="7"/>
  <c r="G10" i="7"/>
  <c r="I9" i="7"/>
  <c r="H9" i="7"/>
  <c r="G9" i="7"/>
  <c r="I8" i="7"/>
  <c r="H8" i="7"/>
  <c r="G8" i="7"/>
  <c r="I7" i="7"/>
  <c r="H7" i="7"/>
  <c r="G7" i="7"/>
  <c r="I6" i="7"/>
  <c r="H6" i="7"/>
  <c r="G6" i="7"/>
  <c r="I5" i="7"/>
  <c r="I25" i="7" s="1"/>
  <c r="H5" i="7"/>
  <c r="H25" i="7" s="1"/>
  <c r="G5" i="7"/>
  <c r="I4" i="7"/>
  <c r="H4" i="7"/>
  <c r="G4" i="7"/>
  <c r="I3" i="7"/>
  <c r="H3" i="7"/>
  <c r="G3" i="7"/>
  <c r="B37" i="6"/>
  <c r="G30" i="6"/>
  <c r="C28" i="6"/>
  <c r="C27" i="6"/>
  <c r="F26" i="6"/>
  <c r="E26" i="6"/>
  <c r="C26" i="6"/>
  <c r="C25" i="6"/>
  <c r="D15" i="6" s="1"/>
  <c r="I23" i="6"/>
  <c r="H23" i="6"/>
  <c r="G23" i="6"/>
  <c r="I22" i="6"/>
  <c r="H22" i="6"/>
  <c r="G22" i="6"/>
  <c r="I21" i="6"/>
  <c r="H21" i="6"/>
  <c r="G21" i="6"/>
  <c r="I20" i="6"/>
  <c r="H20" i="6"/>
  <c r="G20" i="6"/>
  <c r="I19" i="6"/>
  <c r="H19" i="6"/>
  <c r="G19" i="6"/>
  <c r="I18" i="6"/>
  <c r="H18" i="6"/>
  <c r="G18" i="6"/>
  <c r="I17" i="6"/>
  <c r="H17" i="6"/>
  <c r="G17" i="6"/>
  <c r="I16" i="6"/>
  <c r="H16" i="6"/>
  <c r="G16" i="6"/>
  <c r="I15" i="6"/>
  <c r="D15" i="2" s="1"/>
  <c r="H15" i="6"/>
  <c r="H25" i="6" s="1"/>
  <c r="G15" i="6"/>
  <c r="I14" i="6"/>
  <c r="H14" i="6"/>
  <c r="G14" i="6"/>
  <c r="I13" i="6"/>
  <c r="H13" i="6"/>
  <c r="G13" i="6"/>
  <c r="I12" i="6"/>
  <c r="H12" i="6"/>
  <c r="G12" i="6"/>
  <c r="I11" i="6"/>
  <c r="H11" i="6"/>
  <c r="G11" i="6"/>
  <c r="I10" i="6"/>
  <c r="H10" i="6"/>
  <c r="G10" i="6"/>
  <c r="I9" i="6"/>
  <c r="H9" i="6"/>
  <c r="G9" i="6"/>
  <c r="I8" i="6"/>
  <c r="H8" i="6"/>
  <c r="G8" i="6"/>
  <c r="I7" i="6"/>
  <c r="H7" i="6"/>
  <c r="G7" i="6"/>
  <c r="I6" i="6"/>
  <c r="H6" i="6"/>
  <c r="G6" i="6"/>
  <c r="I5" i="6"/>
  <c r="H5" i="6"/>
  <c r="G5" i="6"/>
  <c r="H4" i="6"/>
  <c r="G4" i="6"/>
  <c r="H3" i="6"/>
  <c r="G3" i="6"/>
  <c r="G30" i="1"/>
  <c r="I26" i="1"/>
  <c r="I25" i="1"/>
  <c r="H26" i="1"/>
  <c r="H25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4" i="1"/>
  <c r="H5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I4" i="1"/>
  <c r="I3" i="1"/>
  <c r="H3" i="1"/>
  <c r="F26" i="1"/>
  <c r="E26" i="1"/>
  <c r="C28" i="1"/>
  <c r="C27" i="1"/>
  <c r="C26" i="1"/>
  <c r="B37" i="1"/>
  <c r="D19" i="7" l="1"/>
  <c r="D7" i="7"/>
  <c r="D18" i="7"/>
  <c r="D6" i="7"/>
  <c r="G17" i="2"/>
  <c r="D5" i="7"/>
  <c r="D16" i="7"/>
  <c r="D4" i="7"/>
  <c r="D15" i="7"/>
  <c r="D14" i="7"/>
  <c r="D13" i="7"/>
  <c r="D17" i="7"/>
  <c r="D3" i="7"/>
  <c r="B25" i="2"/>
  <c r="G15" i="2"/>
  <c r="D25" i="2"/>
  <c r="D19" i="6"/>
  <c r="D7" i="6"/>
  <c r="D18" i="6"/>
  <c r="D6" i="6"/>
  <c r="D17" i="6"/>
  <c r="D5" i="6"/>
  <c r="D16" i="6"/>
  <c r="D4" i="6"/>
  <c r="D15" i="1"/>
  <c r="D14" i="1"/>
  <c r="D13" i="1"/>
  <c r="D12" i="1"/>
  <c r="D23" i="1"/>
  <c r="D11" i="1"/>
  <c r="D22" i="1"/>
  <c r="D10" i="1"/>
  <c r="D21" i="1"/>
  <c r="D9" i="1"/>
  <c r="D20" i="1"/>
  <c r="D8" i="1"/>
  <c r="D19" i="1"/>
  <c r="D7" i="1"/>
  <c r="D18" i="1"/>
  <c r="D6" i="1"/>
  <c r="D17" i="1"/>
  <c r="D5" i="1"/>
  <c r="D16" i="1"/>
  <c r="H26" i="8"/>
  <c r="I26" i="8"/>
  <c r="H26" i="7"/>
  <c r="I26" i="7"/>
  <c r="H26" i="6"/>
  <c r="I26" i="6"/>
  <c r="I25" i="6"/>
  <c r="L15" i="2" l="1"/>
  <c r="G25" i="2"/>
  <c r="I4" i="2" l="1"/>
  <c r="J17" i="2"/>
  <c r="L13" i="2"/>
  <c r="K11" i="2"/>
  <c r="I18" i="2"/>
  <c r="H14" i="2"/>
  <c r="J3" i="2"/>
  <c r="K3" i="2"/>
  <c r="I12" i="2"/>
  <c r="L20" i="2"/>
  <c r="H16" i="2"/>
  <c r="L3" i="2"/>
  <c r="J12" i="2"/>
  <c r="I21" i="2"/>
  <c r="J6" i="2"/>
  <c r="K12" i="2"/>
  <c r="J21" i="2"/>
  <c r="K6" i="2"/>
  <c r="L12" i="2"/>
  <c r="K21" i="2"/>
  <c r="L6" i="2"/>
  <c r="K15" i="2"/>
  <c r="L21" i="2"/>
  <c r="I7" i="2"/>
  <c r="I22" i="2"/>
  <c r="J8" i="2"/>
  <c r="I16" i="2"/>
  <c r="H6" i="2"/>
  <c r="K8" i="2"/>
  <c r="J16" i="2"/>
  <c r="H7" i="2"/>
  <c r="J4" i="2"/>
  <c r="L8" i="2"/>
  <c r="K17" i="2"/>
  <c r="H8" i="2"/>
  <c r="I3" i="2"/>
  <c r="J11" i="2"/>
  <c r="L17" i="2"/>
  <c r="H9" i="2"/>
  <c r="J18" i="2"/>
  <c r="L11" i="2"/>
  <c r="K20" i="2"/>
  <c r="H15" i="2"/>
  <c r="L18" i="2"/>
  <c r="L9" i="2"/>
  <c r="I9" i="2"/>
  <c r="I17" i="2"/>
  <c r="K7" i="2"/>
  <c r="K9" i="2"/>
  <c r="L10" i="2"/>
  <c r="J19" i="2"/>
  <c r="J5" i="2"/>
  <c r="I10" i="2"/>
  <c r="I6" i="2"/>
  <c r="H19" i="2"/>
  <c r="I23" i="2"/>
  <c r="I15" i="2"/>
  <c r="L14" i="2"/>
  <c r="L5" i="2"/>
  <c r="H13" i="2"/>
  <c r="I14" i="2"/>
  <c r="K4" i="2"/>
  <c r="H18" i="2"/>
  <c r="J23" i="2"/>
  <c r="H22" i="2"/>
  <c r="K5" i="2"/>
  <c r="K23" i="2"/>
  <c r="J20" i="2"/>
  <c r="L7" i="2"/>
  <c r="H10" i="2"/>
  <c r="H21" i="2"/>
  <c r="K18" i="2"/>
  <c r="J14" i="2"/>
  <c r="L4" i="2"/>
  <c r="K22" i="2"/>
  <c r="H5" i="2"/>
  <c r="K14" i="2"/>
  <c r="I11" i="2"/>
  <c r="H23" i="2"/>
  <c r="K19" i="2"/>
  <c r="J9" i="2"/>
  <c r="I8" i="2"/>
  <c r="H11" i="2"/>
  <c r="K16" i="2"/>
  <c r="J15" i="2"/>
  <c r="I5" i="2"/>
  <c r="L22" i="2"/>
  <c r="J13" i="2"/>
  <c r="H3" i="2"/>
  <c r="L19" i="2"/>
  <c r="J10" i="2"/>
  <c r="H4" i="2"/>
  <c r="H12" i="2"/>
  <c r="L16" i="2"/>
  <c r="J7" i="2"/>
  <c r="J22" i="2"/>
  <c r="L23" i="2"/>
  <c r="I13" i="2"/>
  <c r="I20" i="2"/>
  <c r="K10" i="2"/>
  <c r="H20" i="2"/>
  <c r="H17" i="2"/>
  <c r="I19" i="2"/>
  <c r="K13" i="2"/>
</calcChain>
</file>

<file path=xl/sharedStrings.xml><?xml version="1.0" encoding="utf-8"?>
<sst xmlns="http://schemas.openxmlformats.org/spreadsheetml/2006/main" count="175" uniqueCount="51">
  <si>
    <t>Jan - Mar Sales Summary - Actual</t>
  </si>
  <si>
    <t>Model</t>
  </si>
  <si>
    <t>Sales Volume</t>
  </si>
  <si>
    <t>% of total Volume</t>
  </si>
  <si>
    <t>Mfg. Cost per Vehicle</t>
  </si>
  <si>
    <t>Selling Price to Dealer</t>
  </si>
  <si>
    <t>Gross Profit Margin:
Hint:1-Cost/Sell</t>
  </si>
  <si>
    <t>Total Cost: 
Hint: Cost * Volume</t>
  </si>
  <si>
    <t>Total Sales to Dealers: 
Hint: Volume*Sell</t>
  </si>
  <si>
    <t>500X Turtleneck</t>
  </si>
  <si>
    <t>500X Dolce Vita</t>
  </si>
  <si>
    <t>500 Hybrid</t>
  </si>
  <si>
    <t>501 Hybrid Convertible</t>
  </si>
  <si>
    <t>500 Electric</t>
  </si>
  <si>
    <t>500 Electric Cabriolet</t>
  </si>
  <si>
    <t>500 Electric 3+1</t>
  </si>
  <si>
    <t>Doblo Electric</t>
  </si>
  <si>
    <t>Doblo Electric Magic Top</t>
  </si>
  <si>
    <t>Doblo Electric Launch</t>
  </si>
  <si>
    <t>Ulysse Electric</t>
  </si>
  <si>
    <t>Ulysse Electric Living</t>
  </si>
  <si>
    <t>Guy</t>
  </si>
  <si>
    <t>Guy Station Wagon</t>
  </si>
  <si>
    <t>Panda Hybrid</t>
  </si>
  <si>
    <t>Panda</t>
  </si>
  <si>
    <t>Qobo</t>
  </si>
  <si>
    <t>Talent M1 Outdoor</t>
  </si>
  <si>
    <t>Tipo Hybrid Hatchback</t>
  </si>
  <si>
    <t>Tipo Hybrid Station Wagon</t>
  </si>
  <si>
    <t>Tipo Station Wagon</t>
  </si>
  <si>
    <t>Average</t>
  </si>
  <si>
    <t>Highest</t>
  </si>
  <si>
    <t>Lowest</t>
  </si>
  <si>
    <t># of models available for sale (regardless of whether or not there were sales for that model)</t>
  </si>
  <si>
    <t xml:space="preserve"> Yearly Sales Summary - Estimated</t>
  </si>
  <si>
    <t>Annual Volume</t>
  </si>
  <si>
    <t>Q1(Jan-Mar) Sales to Dealers</t>
  </si>
  <si>
    <t>Q2(Apr-Jun) Sales to Dealers</t>
  </si>
  <si>
    <t>Q3(Jul-Sep) Sales to Dealers</t>
  </si>
  <si>
    <t>Q4(Oct-Dec) Sales to Dealers</t>
  </si>
  <si>
    <t>Total Sales to Dealers</t>
  </si>
  <si>
    <t>Model's Q1 Contribution to Total Sales%</t>
  </si>
  <si>
    <t>Model's Q2 Contribution to Total Sales%</t>
  </si>
  <si>
    <t>Model's Q3 Contribution to Total Sales%</t>
  </si>
  <si>
    <t>Model's Q4 Contribution to Total Sales%</t>
  </si>
  <si>
    <t>Model's Annual Contribution to Total Sales%</t>
  </si>
  <si>
    <t>2024 Spring</t>
  </si>
  <si>
    <r>
      <rPr>
        <b/>
        <sz val="10"/>
        <rFont val="Arial"/>
        <family val="2"/>
      </rPr>
      <t>Totals</t>
    </r>
    <r>
      <rPr>
        <sz val="10"/>
        <rFont val="Arial"/>
        <family val="2"/>
      </rPr>
      <t xml:space="preserve"> </t>
    </r>
  </si>
  <si>
    <t>July-September Sales Summary - Estimate</t>
  </si>
  <si>
    <t>April - June Sales Summary - Estimate</t>
  </si>
  <si>
    <t>October-December Sales Summary - Estimate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</si>
</sst>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"/>
    <numFmt numFmtId="165" formatCode="0.0%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1" fillId="0" borderId="1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56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1" fillId="0" borderId="1" xfId="1" applyBorder="1"/>
    <xf numFmtId="164" fontId="1" fillId="0" borderId="0" xfId="1" applyNumberFormat="1"/>
    <xf numFmtId="164" fontId="1" fillId="2" borderId="1" xfId="1" applyNumberFormat="1" applyFill="1" applyBorder="1"/>
    <xf numFmtId="164" fontId="1" fillId="3" borderId="1" xfId="1" applyNumberFormat="1" applyFill="1" applyBorder="1"/>
    <xf numFmtId="164" fontId="1" fillId="0" borderId="1" xfId="1" applyNumberFormat="1" applyBorder="1"/>
    <xf numFmtId="3" fontId="1" fillId="2" borderId="1" xfId="1" applyNumberFormat="1" applyFill="1" applyBorder="1"/>
    <xf numFmtId="164" fontId="0" fillId="3" borderId="1" xfId="3" applyNumberFormat="1" applyFont="1" applyFill="1" applyBorder="1"/>
    <xf numFmtId="49" fontId="1" fillId="0" borderId="0" xfId="1" applyNumberFormat="1" applyAlignment="1">
      <alignment wrapText="1"/>
    </xf>
    <xf numFmtId="49" fontId="1" fillId="0" borderId="1" xfId="1" applyNumberFormat="1" applyBorder="1" applyAlignment="1">
      <alignment wrapText="1"/>
    </xf>
    <xf numFmtId="49" fontId="1" fillId="3" borderId="1" xfId="1" applyNumberFormat="1" applyFill="1" applyBorder="1" applyAlignment="1">
      <alignment wrapText="1"/>
    </xf>
    <xf numFmtId="49" fontId="2" fillId="0" borderId="0" xfId="1" applyNumberFormat="1" applyFont="1" applyAlignment="1">
      <alignment wrapText="1"/>
    </xf>
    <xf numFmtId="164" fontId="0" fillId="0" borderId="0" xfId="5" applyNumberFormat="1" applyFont="1"/>
    <xf numFmtId="164" fontId="0" fillId="0" borderId="0" xfId="0" applyNumberFormat="1"/>
    <xf numFmtId="3" fontId="0" fillId="0" borderId="0" xfId="0" applyNumberFormat="1"/>
    <xf numFmtId="10" fontId="0" fillId="0" borderId="0" xfId="0" applyNumberFormat="1"/>
    <xf numFmtId="0" fontId="3" fillId="0" borderId="0" xfId="0" applyFont="1"/>
    <xf numFmtId="3" fontId="1" fillId="0" borderId="0" xfId="1" applyNumberFormat="1"/>
    <xf numFmtId="3" fontId="1" fillId="3" borderId="1" xfId="1" applyNumberFormat="1" applyFill="1" applyBorder="1"/>
    <xf numFmtId="3" fontId="1" fillId="0" borderId="1" xfId="1" applyNumberFormat="1" applyBorder="1"/>
    <xf numFmtId="0" fontId="0" fillId="0" borderId="0" xfId="0" applyAlignment="1">
      <alignment wrapText="1"/>
    </xf>
    <xf numFmtId="0" fontId="1" fillId="0" borderId="1" xfId="2" applyAlignment="1">
      <alignment wrapText="1"/>
    </xf>
    <xf numFmtId="3" fontId="0" fillId="0" borderId="1" xfId="0" applyNumberFormat="1" applyBorder="1"/>
    <xf numFmtId="164" fontId="0" fillId="0" borderId="1" xfId="5" applyNumberFormat="1" applyFont="1" applyBorder="1"/>
    <xf numFmtId="164" fontId="0" fillId="0" borderId="1" xfId="0" applyNumberFormat="1" applyBorder="1"/>
    <xf numFmtId="10" fontId="0" fillId="0" borderId="1" xfId="0" applyNumberFormat="1" applyBorder="1"/>
    <xf numFmtId="0" fontId="1" fillId="0" borderId="1" xfId="1" applyBorder="1" applyAlignment="1">
      <alignment wrapText="1"/>
    </xf>
    <xf numFmtId="3" fontId="0" fillId="0" borderId="1" xfId="5" applyNumberFormat="1" applyFont="1" applyBorder="1"/>
    <xf numFmtId="0" fontId="3" fillId="0" borderId="1" xfId="0" applyFont="1" applyBorder="1" applyAlignment="1">
      <alignment wrapText="1"/>
    </xf>
    <xf numFmtId="3" fontId="3" fillId="0" borderId="1" xfId="0" applyNumberFormat="1" applyFont="1" applyBorder="1" applyAlignment="1">
      <alignment wrapText="1"/>
    </xf>
    <xf numFmtId="164" fontId="3" fillId="0" borderId="1" xfId="5" applyNumberFormat="1" applyFont="1" applyBorder="1" applyAlignment="1">
      <alignment wrapText="1"/>
    </xf>
    <xf numFmtId="164" fontId="3" fillId="0" borderId="1" xfId="0" applyNumberFormat="1" applyFont="1" applyBorder="1" applyAlignment="1">
      <alignment wrapText="1"/>
    </xf>
    <xf numFmtId="10" fontId="3" fillId="0" borderId="1" xfId="0" applyNumberFormat="1" applyFont="1" applyBorder="1" applyAlignment="1">
      <alignment wrapText="1"/>
    </xf>
    <xf numFmtId="0" fontId="3" fillId="0" borderId="0" xfId="0" applyFont="1" applyAlignment="1">
      <alignment wrapText="1"/>
    </xf>
    <xf numFmtId="3" fontId="1" fillId="0" borderId="1" xfId="1" applyNumberFormat="1" applyBorder="1" applyAlignment="1">
      <alignment horizontal="center" wrapText="1"/>
    </xf>
    <xf numFmtId="164" fontId="1" fillId="0" borderId="1" xfId="1" applyNumberFormat="1" applyBorder="1" applyAlignment="1">
      <alignment horizontal="center" wrapText="1"/>
    </xf>
    <xf numFmtId="49" fontId="1" fillId="0" borderId="1" xfId="2" applyNumberFormat="1" applyAlignment="1">
      <alignment wrapText="1"/>
    </xf>
    <xf numFmtId="164" fontId="1" fillId="0" borderId="1" xfId="2" applyNumberFormat="1"/>
    <xf numFmtId="3" fontId="1" fillId="0" borderId="1" xfId="2" applyNumberFormat="1"/>
    <xf numFmtId="3" fontId="3" fillId="0" borderId="1" xfId="0" applyNumberFormat="1" applyFont="1" applyBorder="1"/>
    <xf numFmtId="9" fontId="1" fillId="0" borderId="1" xfId="1" applyNumberFormat="1" applyBorder="1"/>
    <xf numFmtId="9" fontId="1" fillId="0" borderId="1" xfId="1" applyNumberFormat="1" applyBorder="1" applyAlignment="1">
      <alignment horizontal="center" wrapText="1"/>
    </xf>
    <xf numFmtId="9" fontId="1" fillId="2" borderId="1" xfId="1" applyNumberFormat="1" applyFill="1" applyBorder="1"/>
    <xf numFmtId="9" fontId="0" fillId="3" borderId="1" xfId="4" applyFont="1" applyFill="1" applyBorder="1" applyAlignment="1">
      <alignment horizontal="center"/>
    </xf>
    <xf numFmtId="9" fontId="1" fillId="0" borderId="0" xfId="1" applyNumberFormat="1"/>
    <xf numFmtId="164" fontId="3" fillId="0" borderId="1" xfId="0" applyNumberFormat="1" applyFont="1" applyBorder="1"/>
    <xf numFmtId="165" fontId="1" fillId="0" borderId="1" xfId="1" applyNumberFormat="1" applyBorder="1"/>
    <xf numFmtId="165" fontId="1" fillId="0" borderId="1" xfId="1" applyNumberFormat="1" applyBorder="1" applyAlignment="1">
      <alignment horizontal="center" wrapText="1"/>
    </xf>
    <xf numFmtId="165" fontId="1" fillId="2" borderId="1" xfId="1" applyNumberFormat="1" applyFill="1" applyBorder="1"/>
    <xf numFmtId="165" fontId="1" fillId="3" borderId="1" xfId="1" applyNumberFormat="1" applyFill="1" applyBorder="1"/>
    <xf numFmtId="165" fontId="1" fillId="0" borderId="0" xfId="1" applyNumberFormat="1"/>
    <xf numFmtId="1" fontId="1" fillId="2" borderId="1" xfId="1" applyNumberFormat="1" applyFill="1" applyBorder="1"/>
    <xf numFmtId="0" fontId="1" fillId="0" borderId="1" xfId="1" applyBorder="1" applyAlignment="1">
      <alignment horizontal="left" wrapText="1"/>
    </xf>
    <xf numFmtId="0" fontId="3" fillId="0" borderId="1" xfId="0" applyFont="1" applyBorder="1" applyAlignment="1">
      <alignment horizontal="center"/>
    </xf>
  </cellXfs>
  <cellStyles count="6">
    <cellStyle name="2023 Spring" xfId="2" xr:uid="{00000000-0005-0000-0000-000000000000}"/>
    <cellStyle name="Currency" xfId="5" builtinId="4"/>
    <cellStyle name="Currency 2" xfId="3" xr:uid="{00000000-0005-0000-0000-000001000000}"/>
    <cellStyle name="Normal" xfId="0" builtinId="0"/>
    <cellStyle name="Normal 2" xfId="1" xr:uid="{00000000-0005-0000-0000-000003000000}"/>
    <cellStyle name="Percent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2.jpe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2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2.jpe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2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jp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2.jpe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1" Type="http://schemas.openxmlformats.org/officeDocument/2006/relationships/image" Target="../media/image2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85010</xdr:colOff>
      <xdr:row>8</xdr:row>
      <xdr:rowOff>14638</xdr:rowOff>
    </xdr:from>
    <xdr:to>
      <xdr:col>0</xdr:col>
      <xdr:colOff>1257299</xdr:colOff>
      <xdr:row>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8FAB13-336C-48C6-9FF6-99E4C50CEF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10" y="4495198"/>
          <a:ext cx="1210389" cy="621632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7</xdr:row>
      <xdr:rowOff>6708</xdr:rowOff>
    </xdr:from>
    <xdr:to>
      <xdr:col>0</xdr:col>
      <xdr:colOff>1253490</xdr:colOff>
      <xdr:row>8</xdr:row>
      <xdr:rowOff>8500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4DE018E-6705-48D0-9CEF-A1DDCF38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3850998"/>
          <a:ext cx="1116330" cy="638062"/>
        </a:xfrm>
        <a:prstGeom prst="rect">
          <a:avLst/>
        </a:prstGeom>
      </xdr:spPr>
    </xdr:pic>
    <xdr:clientData/>
  </xdr:twoCellAnchor>
  <xdr:twoCellAnchor editAs="oneCell">
    <xdr:from>
      <xdr:col>0</xdr:col>
      <xdr:colOff>109500</xdr:colOff>
      <xdr:row>6</xdr:row>
      <xdr:rowOff>14222</xdr:rowOff>
    </xdr:from>
    <xdr:to>
      <xdr:col>0</xdr:col>
      <xdr:colOff>1253490</xdr:colOff>
      <xdr:row>6</xdr:row>
      <xdr:rowOff>620039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4026E69-8A3B-4FED-9F5D-852F770F4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00" y="3222242"/>
          <a:ext cx="1166850" cy="605817"/>
        </a:xfrm>
        <a:prstGeom prst="rect">
          <a:avLst/>
        </a:prstGeom>
      </xdr:spPr>
    </xdr:pic>
    <xdr:clientData/>
  </xdr:twoCellAnchor>
  <xdr:twoCellAnchor editAs="oneCell">
    <xdr:from>
      <xdr:col>0</xdr:col>
      <xdr:colOff>220981</xdr:colOff>
      <xdr:row>4</xdr:row>
      <xdr:rowOff>19050</xdr:rowOff>
    </xdr:from>
    <xdr:to>
      <xdr:col>0</xdr:col>
      <xdr:colOff>1162051</xdr:colOff>
      <xdr:row>4</xdr:row>
      <xdr:rowOff>610771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B8B0FB1-D3C5-4B72-A006-B13EF1E04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1" y="1954530"/>
          <a:ext cx="941070" cy="591721"/>
        </a:xfrm>
        <a:prstGeom prst="rect">
          <a:avLst/>
        </a:prstGeom>
      </xdr:spPr>
    </xdr:pic>
    <xdr:clientData/>
  </xdr:twoCellAnchor>
  <xdr:twoCellAnchor editAs="oneCell">
    <xdr:from>
      <xdr:col>0</xdr:col>
      <xdr:colOff>124871</xdr:colOff>
      <xdr:row>5</xdr:row>
      <xdr:rowOff>19050</xdr:rowOff>
    </xdr:from>
    <xdr:to>
      <xdr:col>0</xdr:col>
      <xdr:colOff>1058747</xdr:colOff>
      <xdr:row>5</xdr:row>
      <xdr:rowOff>617220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C798F6-60FA-4FCA-A1CD-F72A99308D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71" y="2590800"/>
          <a:ext cx="933876" cy="598170"/>
        </a:xfrm>
        <a:prstGeom prst="rect">
          <a:avLst/>
        </a:prstGeom>
      </xdr:spPr>
    </xdr:pic>
    <xdr:clientData/>
  </xdr:twoCellAnchor>
  <xdr:twoCellAnchor editAs="oneCell">
    <xdr:from>
      <xdr:col>0</xdr:col>
      <xdr:colOff>93785</xdr:colOff>
      <xdr:row>2</xdr:row>
      <xdr:rowOff>52524</xdr:rowOff>
    </xdr:from>
    <xdr:to>
      <xdr:col>0</xdr:col>
      <xdr:colOff>1257593</xdr:colOff>
      <xdr:row>2</xdr:row>
      <xdr:rowOff>601654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0737648-6514-4C38-A3C1-DF623571E5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85" y="715464"/>
          <a:ext cx="1209528" cy="549130"/>
        </a:xfrm>
        <a:prstGeom prst="rect">
          <a:avLst/>
        </a:prstGeom>
      </xdr:spPr>
    </xdr:pic>
    <xdr:clientData/>
  </xdr:twoCellAnchor>
  <xdr:twoCellAnchor editAs="oneCell">
    <xdr:from>
      <xdr:col>0</xdr:col>
      <xdr:colOff>58615</xdr:colOff>
      <xdr:row>14</xdr:row>
      <xdr:rowOff>0</xdr:rowOff>
    </xdr:from>
    <xdr:to>
      <xdr:col>0</xdr:col>
      <xdr:colOff>1254076</xdr:colOff>
      <xdr:row>14</xdr:row>
      <xdr:rowOff>570206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FB65070-5EAF-4AE2-8577-C9CFD8B2C2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15" y="8298180"/>
          <a:ext cx="1256421" cy="570206"/>
        </a:xfrm>
        <a:prstGeom prst="rect">
          <a:avLst/>
        </a:prstGeom>
      </xdr:spPr>
    </xdr:pic>
    <xdr:clientData/>
  </xdr:twoCellAnchor>
  <xdr:twoCellAnchor editAs="oneCell">
    <xdr:from>
      <xdr:col>0</xdr:col>
      <xdr:colOff>77140</xdr:colOff>
      <xdr:row>15</xdr:row>
      <xdr:rowOff>35173</xdr:rowOff>
    </xdr:from>
    <xdr:to>
      <xdr:col>0</xdr:col>
      <xdr:colOff>1258271</xdr:colOff>
      <xdr:row>15</xdr:row>
      <xdr:rowOff>589964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41653A2-3C00-4624-8B0C-DAF394A405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40" y="8969623"/>
          <a:ext cx="1226851" cy="554791"/>
        </a:xfrm>
        <a:prstGeom prst="rect">
          <a:avLst/>
        </a:prstGeom>
      </xdr:spPr>
    </xdr:pic>
    <xdr:clientData/>
  </xdr:twoCellAnchor>
  <xdr:twoCellAnchor editAs="oneCell">
    <xdr:from>
      <xdr:col>0</xdr:col>
      <xdr:colOff>281354</xdr:colOff>
      <xdr:row>16</xdr:row>
      <xdr:rowOff>16212</xdr:rowOff>
    </xdr:from>
    <xdr:to>
      <xdr:col>0</xdr:col>
      <xdr:colOff>1227112</xdr:colOff>
      <xdr:row>16</xdr:row>
      <xdr:rowOff>610082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EF080B5-7382-429F-AA10-58A776938E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354" y="9586932"/>
          <a:ext cx="945758" cy="593870"/>
        </a:xfrm>
        <a:prstGeom prst="rect">
          <a:avLst/>
        </a:prstGeom>
      </xdr:spPr>
    </xdr:pic>
    <xdr:clientData/>
  </xdr:twoCellAnchor>
  <xdr:twoCellAnchor editAs="oneCell">
    <xdr:from>
      <xdr:col>0</xdr:col>
      <xdr:colOff>243253</xdr:colOff>
      <xdr:row>17</xdr:row>
      <xdr:rowOff>25548</xdr:rowOff>
    </xdr:from>
    <xdr:to>
      <xdr:col>0</xdr:col>
      <xdr:colOff>1171427</xdr:colOff>
      <xdr:row>17</xdr:row>
      <xdr:rowOff>610768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7667E0C1-9267-4E89-B9D8-E485E1A98B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53" y="10232538"/>
          <a:ext cx="928174" cy="585220"/>
        </a:xfrm>
        <a:prstGeom prst="rect">
          <a:avLst/>
        </a:prstGeom>
      </xdr:spPr>
    </xdr:pic>
    <xdr:clientData/>
  </xdr:twoCellAnchor>
  <xdr:twoCellAnchor editAs="oneCell">
    <xdr:from>
      <xdr:col>0</xdr:col>
      <xdr:colOff>187570</xdr:colOff>
      <xdr:row>20</xdr:row>
      <xdr:rowOff>14654</xdr:rowOff>
    </xdr:from>
    <xdr:to>
      <xdr:col>0</xdr:col>
      <xdr:colOff>1254465</xdr:colOff>
      <xdr:row>20</xdr:row>
      <xdr:rowOff>590014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456AFFE4-32B7-4CE8-AADD-E012120D3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570" y="12130454"/>
          <a:ext cx="1089755" cy="575360"/>
        </a:xfrm>
        <a:prstGeom prst="rect">
          <a:avLst/>
        </a:prstGeom>
      </xdr:spPr>
    </xdr:pic>
    <xdr:clientData/>
  </xdr:twoCellAnchor>
  <xdr:twoCellAnchor editAs="oneCell">
    <xdr:from>
      <xdr:col>0</xdr:col>
      <xdr:colOff>193962</xdr:colOff>
      <xdr:row>21</xdr:row>
      <xdr:rowOff>26908</xdr:rowOff>
    </xdr:from>
    <xdr:to>
      <xdr:col>0</xdr:col>
      <xdr:colOff>1230372</xdr:colOff>
      <xdr:row>21</xdr:row>
      <xdr:rowOff>598458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516F388-8F25-4C4D-A3EA-C61EE9D58C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962" y="12778978"/>
          <a:ext cx="1036410" cy="571550"/>
        </a:xfrm>
        <a:prstGeom prst="rect">
          <a:avLst/>
        </a:prstGeom>
      </xdr:spPr>
    </xdr:pic>
    <xdr:clientData/>
  </xdr:twoCellAnchor>
  <xdr:twoCellAnchor editAs="oneCell">
    <xdr:from>
      <xdr:col>0</xdr:col>
      <xdr:colOff>52754</xdr:colOff>
      <xdr:row>9</xdr:row>
      <xdr:rowOff>2931</xdr:rowOff>
    </xdr:from>
    <xdr:to>
      <xdr:col>0</xdr:col>
      <xdr:colOff>1255093</xdr:colOff>
      <xdr:row>9</xdr:row>
      <xdr:rowOff>572380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EBB51D3-F749-444E-AB9B-8F988981FA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54" y="5119761"/>
          <a:ext cx="1263299" cy="569449"/>
        </a:xfrm>
        <a:prstGeom prst="rect">
          <a:avLst/>
        </a:prstGeom>
      </xdr:spPr>
    </xdr:pic>
    <xdr:clientData/>
  </xdr:twoCellAnchor>
  <xdr:twoCellAnchor editAs="oneCell">
    <xdr:from>
      <xdr:col>0</xdr:col>
      <xdr:colOff>246185</xdr:colOff>
      <xdr:row>10</xdr:row>
      <xdr:rowOff>5862</xdr:rowOff>
    </xdr:from>
    <xdr:to>
      <xdr:col>0</xdr:col>
      <xdr:colOff>1259930</xdr:colOff>
      <xdr:row>10</xdr:row>
      <xdr:rowOff>627188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B028E6AA-4554-4A5F-B58C-2AEBBC6F46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5" y="5758962"/>
          <a:ext cx="1028985" cy="621326"/>
        </a:xfrm>
        <a:prstGeom prst="rect">
          <a:avLst/>
        </a:prstGeom>
      </xdr:spPr>
    </xdr:pic>
    <xdr:clientData/>
  </xdr:twoCellAnchor>
  <xdr:twoCellAnchor editAs="oneCell">
    <xdr:from>
      <xdr:col>0</xdr:col>
      <xdr:colOff>278423</xdr:colOff>
      <xdr:row>11</xdr:row>
      <xdr:rowOff>2930</xdr:rowOff>
    </xdr:from>
    <xdr:to>
      <xdr:col>0</xdr:col>
      <xdr:colOff>1219575</xdr:colOff>
      <xdr:row>11</xdr:row>
      <xdr:rowOff>570670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BD999A7-3611-486E-8494-A366F4E99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3" y="6392300"/>
          <a:ext cx="941152" cy="567740"/>
        </a:xfrm>
        <a:prstGeom prst="rect">
          <a:avLst/>
        </a:prstGeom>
      </xdr:spPr>
    </xdr:pic>
    <xdr:clientData/>
  </xdr:twoCellAnchor>
  <xdr:twoCellAnchor editAs="oneCell">
    <xdr:from>
      <xdr:col>0</xdr:col>
      <xdr:colOff>193432</xdr:colOff>
      <xdr:row>12</xdr:row>
      <xdr:rowOff>11724</xdr:rowOff>
    </xdr:from>
    <xdr:to>
      <xdr:col>0</xdr:col>
      <xdr:colOff>1237900</xdr:colOff>
      <xdr:row>12</xdr:row>
      <xdr:rowOff>609601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16AF55E-2370-474A-943C-937F41B1A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432" y="7037364"/>
          <a:ext cx="1044468" cy="597877"/>
        </a:xfrm>
        <a:prstGeom prst="rect">
          <a:avLst/>
        </a:prstGeom>
      </xdr:spPr>
    </xdr:pic>
    <xdr:clientData/>
  </xdr:twoCellAnchor>
  <xdr:twoCellAnchor editAs="oneCell">
    <xdr:from>
      <xdr:col>0</xdr:col>
      <xdr:colOff>205154</xdr:colOff>
      <xdr:row>12</xdr:row>
      <xdr:rowOff>615461</xdr:rowOff>
    </xdr:from>
    <xdr:to>
      <xdr:col>0</xdr:col>
      <xdr:colOff>1218079</xdr:colOff>
      <xdr:row>13</xdr:row>
      <xdr:rowOff>626797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B7619498-16C1-46E4-B9EC-EE61F97330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4" y="7641101"/>
          <a:ext cx="1012925" cy="647606"/>
        </a:xfrm>
        <a:prstGeom prst="rect">
          <a:avLst/>
        </a:prstGeom>
      </xdr:spPr>
    </xdr:pic>
    <xdr:clientData/>
  </xdr:twoCellAnchor>
  <xdr:twoCellAnchor editAs="oneCell">
    <xdr:from>
      <xdr:col>0</xdr:col>
      <xdr:colOff>211015</xdr:colOff>
      <xdr:row>22</xdr:row>
      <xdr:rowOff>26377</xdr:rowOff>
    </xdr:from>
    <xdr:to>
      <xdr:col>0</xdr:col>
      <xdr:colOff>1247425</xdr:colOff>
      <xdr:row>22</xdr:row>
      <xdr:rowOff>601737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F82B516-E264-4B86-AD87-E1285A3014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5" y="13414717"/>
          <a:ext cx="1036410" cy="575360"/>
        </a:xfrm>
        <a:prstGeom prst="rect">
          <a:avLst/>
        </a:prstGeom>
      </xdr:spPr>
    </xdr:pic>
    <xdr:clientData/>
  </xdr:twoCellAnchor>
  <xdr:twoCellAnchor editAs="oneCell">
    <xdr:from>
      <xdr:col>0</xdr:col>
      <xdr:colOff>254972</xdr:colOff>
      <xdr:row>3</xdr:row>
      <xdr:rowOff>14653</xdr:rowOff>
    </xdr:from>
    <xdr:to>
      <xdr:col>0</xdr:col>
      <xdr:colOff>1170912</xdr:colOff>
      <xdr:row>4</xdr:row>
      <xdr:rowOff>1561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62499AF-21D0-4309-B509-EFC23FFA0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972" y="1313863"/>
          <a:ext cx="915940" cy="614437"/>
        </a:xfrm>
        <a:prstGeom prst="rect">
          <a:avLst/>
        </a:prstGeom>
      </xdr:spPr>
    </xdr:pic>
    <xdr:clientData/>
  </xdr:twoCellAnchor>
  <xdr:twoCellAnchor editAs="oneCell">
    <xdr:from>
      <xdr:col>0</xdr:col>
      <xdr:colOff>172915</xdr:colOff>
      <xdr:row>18</xdr:row>
      <xdr:rowOff>38101</xdr:rowOff>
    </xdr:from>
    <xdr:to>
      <xdr:col>0</xdr:col>
      <xdr:colOff>1260670</xdr:colOff>
      <xdr:row>18</xdr:row>
      <xdr:rowOff>599135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A9C5A298-3BAB-4942-BDD7-AE6B9B0662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15" y="10881361"/>
          <a:ext cx="1095375" cy="561034"/>
        </a:xfrm>
        <a:prstGeom prst="rect">
          <a:avLst/>
        </a:prstGeom>
      </xdr:spPr>
    </xdr:pic>
    <xdr:clientData/>
  </xdr:twoCellAnchor>
  <xdr:twoCellAnchor editAs="oneCell">
    <xdr:from>
      <xdr:col>0</xdr:col>
      <xdr:colOff>199293</xdr:colOff>
      <xdr:row>19</xdr:row>
      <xdr:rowOff>2931</xdr:rowOff>
    </xdr:from>
    <xdr:to>
      <xdr:col>0</xdr:col>
      <xdr:colOff>1169892</xdr:colOff>
      <xdr:row>19</xdr:row>
      <xdr:rowOff>589672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FFE902F6-4A89-4467-AE64-2DE6426D90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93" y="11482461"/>
          <a:ext cx="970599" cy="5867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85010</xdr:colOff>
      <xdr:row>8</xdr:row>
      <xdr:rowOff>14638</xdr:rowOff>
    </xdr:from>
    <xdr:to>
      <xdr:col>0</xdr:col>
      <xdr:colOff>1257299</xdr:colOff>
      <xdr:row>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471B66-0D96-4BA0-A986-5C3FA9E796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10" y="4502818"/>
          <a:ext cx="1172289" cy="617822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7</xdr:row>
      <xdr:rowOff>6708</xdr:rowOff>
    </xdr:from>
    <xdr:to>
      <xdr:col>0</xdr:col>
      <xdr:colOff>1253490</xdr:colOff>
      <xdr:row>8</xdr:row>
      <xdr:rowOff>8500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33C93A0-BAD1-4603-BE14-A900FAD0BA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3862428"/>
          <a:ext cx="1093470" cy="63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109500</xdr:colOff>
      <xdr:row>6</xdr:row>
      <xdr:rowOff>14222</xdr:rowOff>
    </xdr:from>
    <xdr:to>
      <xdr:col>0</xdr:col>
      <xdr:colOff>1253490</xdr:colOff>
      <xdr:row>6</xdr:row>
      <xdr:rowOff>620039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BBBB260-AA33-4A80-932F-80DB1D9B18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00" y="3237482"/>
          <a:ext cx="1143990" cy="605817"/>
        </a:xfrm>
        <a:prstGeom prst="rect">
          <a:avLst/>
        </a:prstGeom>
      </xdr:spPr>
    </xdr:pic>
    <xdr:clientData/>
  </xdr:twoCellAnchor>
  <xdr:twoCellAnchor editAs="oneCell">
    <xdr:from>
      <xdr:col>0</xdr:col>
      <xdr:colOff>220981</xdr:colOff>
      <xdr:row>4</xdr:row>
      <xdr:rowOff>19050</xdr:rowOff>
    </xdr:from>
    <xdr:to>
      <xdr:col>0</xdr:col>
      <xdr:colOff>1162051</xdr:colOff>
      <xdr:row>4</xdr:row>
      <xdr:rowOff>610771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CE8174F-0786-4BA6-A574-438961E9D7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1" y="1977390"/>
          <a:ext cx="941070" cy="591721"/>
        </a:xfrm>
        <a:prstGeom prst="rect">
          <a:avLst/>
        </a:prstGeom>
      </xdr:spPr>
    </xdr:pic>
    <xdr:clientData/>
  </xdr:twoCellAnchor>
  <xdr:twoCellAnchor editAs="oneCell">
    <xdr:from>
      <xdr:col>0</xdr:col>
      <xdr:colOff>124871</xdr:colOff>
      <xdr:row>5</xdr:row>
      <xdr:rowOff>19050</xdr:rowOff>
    </xdr:from>
    <xdr:to>
      <xdr:col>0</xdr:col>
      <xdr:colOff>1058747</xdr:colOff>
      <xdr:row>5</xdr:row>
      <xdr:rowOff>617220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3AEF7AD-7A25-4F92-BA29-EBBD8104C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71" y="2609850"/>
          <a:ext cx="933876" cy="598170"/>
        </a:xfrm>
        <a:prstGeom prst="rect">
          <a:avLst/>
        </a:prstGeom>
      </xdr:spPr>
    </xdr:pic>
    <xdr:clientData/>
  </xdr:twoCellAnchor>
  <xdr:twoCellAnchor editAs="oneCell">
    <xdr:from>
      <xdr:col>0</xdr:col>
      <xdr:colOff>93785</xdr:colOff>
      <xdr:row>2</xdr:row>
      <xdr:rowOff>52524</xdr:rowOff>
    </xdr:from>
    <xdr:to>
      <xdr:col>0</xdr:col>
      <xdr:colOff>1257593</xdr:colOff>
      <xdr:row>2</xdr:row>
      <xdr:rowOff>601654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4CA16A5-4FCE-4A8B-9006-54689ACAFA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85" y="745944"/>
          <a:ext cx="1163808" cy="549130"/>
        </a:xfrm>
        <a:prstGeom prst="rect">
          <a:avLst/>
        </a:prstGeom>
      </xdr:spPr>
    </xdr:pic>
    <xdr:clientData/>
  </xdr:twoCellAnchor>
  <xdr:twoCellAnchor editAs="oneCell">
    <xdr:from>
      <xdr:col>0</xdr:col>
      <xdr:colOff>58615</xdr:colOff>
      <xdr:row>14</xdr:row>
      <xdr:rowOff>0</xdr:rowOff>
    </xdr:from>
    <xdr:to>
      <xdr:col>0</xdr:col>
      <xdr:colOff>1254076</xdr:colOff>
      <xdr:row>14</xdr:row>
      <xdr:rowOff>570206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5D0B05F-05CB-4272-AA65-AB097A8884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15" y="8282940"/>
          <a:ext cx="1195461" cy="570206"/>
        </a:xfrm>
        <a:prstGeom prst="rect">
          <a:avLst/>
        </a:prstGeom>
      </xdr:spPr>
    </xdr:pic>
    <xdr:clientData/>
  </xdr:twoCellAnchor>
  <xdr:twoCellAnchor editAs="oneCell">
    <xdr:from>
      <xdr:col>0</xdr:col>
      <xdr:colOff>77140</xdr:colOff>
      <xdr:row>15</xdr:row>
      <xdr:rowOff>35173</xdr:rowOff>
    </xdr:from>
    <xdr:to>
      <xdr:col>0</xdr:col>
      <xdr:colOff>1258271</xdr:colOff>
      <xdr:row>15</xdr:row>
      <xdr:rowOff>589964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C3272F7-CD90-4847-9A21-423582C83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40" y="8950573"/>
          <a:ext cx="1181131" cy="554791"/>
        </a:xfrm>
        <a:prstGeom prst="rect">
          <a:avLst/>
        </a:prstGeom>
      </xdr:spPr>
    </xdr:pic>
    <xdr:clientData/>
  </xdr:twoCellAnchor>
  <xdr:twoCellAnchor editAs="oneCell">
    <xdr:from>
      <xdr:col>0</xdr:col>
      <xdr:colOff>281354</xdr:colOff>
      <xdr:row>16</xdr:row>
      <xdr:rowOff>16212</xdr:rowOff>
    </xdr:from>
    <xdr:to>
      <xdr:col>0</xdr:col>
      <xdr:colOff>1227112</xdr:colOff>
      <xdr:row>16</xdr:row>
      <xdr:rowOff>610082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D66A732-BA9C-40EE-8B82-47BC61BAC4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354" y="9564072"/>
          <a:ext cx="945758" cy="593870"/>
        </a:xfrm>
        <a:prstGeom prst="rect">
          <a:avLst/>
        </a:prstGeom>
      </xdr:spPr>
    </xdr:pic>
    <xdr:clientData/>
  </xdr:twoCellAnchor>
  <xdr:twoCellAnchor editAs="oneCell">
    <xdr:from>
      <xdr:col>0</xdr:col>
      <xdr:colOff>243253</xdr:colOff>
      <xdr:row>17</xdr:row>
      <xdr:rowOff>25548</xdr:rowOff>
    </xdr:from>
    <xdr:to>
      <xdr:col>0</xdr:col>
      <xdr:colOff>1171427</xdr:colOff>
      <xdr:row>17</xdr:row>
      <xdr:rowOff>610768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27A58D-75FB-4F8D-A76F-A6FCD495C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53" y="10205868"/>
          <a:ext cx="928174" cy="585220"/>
        </a:xfrm>
        <a:prstGeom prst="rect">
          <a:avLst/>
        </a:prstGeom>
      </xdr:spPr>
    </xdr:pic>
    <xdr:clientData/>
  </xdr:twoCellAnchor>
  <xdr:twoCellAnchor editAs="oneCell">
    <xdr:from>
      <xdr:col>0</xdr:col>
      <xdr:colOff>187570</xdr:colOff>
      <xdr:row>20</xdr:row>
      <xdr:rowOff>14654</xdr:rowOff>
    </xdr:from>
    <xdr:to>
      <xdr:col>0</xdr:col>
      <xdr:colOff>1254465</xdr:colOff>
      <xdr:row>20</xdr:row>
      <xdr:rowOff>590014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67870915-8DA9-4B57-BACE-5632561A48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570" y="12092354"/>
          <a:ext cx="1066895" cy="575360"/>
        </a:xfrm>
        <a:prstGeom prst="rect">
          <a:avLst/>
        </a:prstGeom>
      </xdr:spPr>
    </xdr:pic>
    <xdr:clientData/>
  </xdr:twoCellAnchor>
  <xdr:twoCellAnchor editAs="oneCell">
    <xdr:from>
      <xdr:col>0</xdr:col>
      <xdr:colOff>193962</xdr:colOff>
      <xdr:row>21</xdr:row>
      <xdr:rowOff>26908</xdr:rowOff>
    </xdr:from>
    <xdr:to>
      <xdr:col>0</xdr:col>
      <xdr:colOff>1230372</xdr:colOff>
      <xdr:row>21</xdr:row>
      <xdr:rowOff>598458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E2C970C-508B-4ED4-8D14-EFDCF7A44D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962" y="12737068"/>
          <a:ext cx="1036410" cy="571550"/>
        </a:xfrm>
        <a:prstGeom prst="rect">
          <a:avLst/>
        </a:prstGeom>
      </xdr:spPr>
    </xdr:pic>
    <xdr:clientData/>
  </xdr:twoCellAnchor>
  <xdr:twoCellAnchor editAs="oneCell">
    <xdr:from>
      <xdr:col>0</xdr:col>
      <xdr:colOff>52754</xdr:colOff>
      <xdr:row>9</xdr:row>
      <xdr:rowOff>2931</xdr:rowOff>
    </xdr:from>
    <xdr:to>
      <xdr:col>0</xdr:col>
      <xdr:colOff>1255093</xdr:colOff>
      <xdr:row>9</xdr:row>
      <xdr:rowOff>572380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FCD0777-D779-4A06-B6F5-FFCCFE976F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54" y="5123571"/>
          <a:ext cx="1202339" cy="569449"/>
        </a:xfrm>
        <a:prstGeom prst="rect">
          <a:avLst/>
        </a:prstGeom>
      </xdr:spPr>
    </xdr:pic>
    <xdr:clientData/>
  </xdr:twoCellAnchor>
  <xdr:twoCellAnchor editAs="oneCell">
    <xdr:from>
      <xdr:col>0</xdr:col>
      <xdr:colOff>246185</xdr:colOff>
      <xdr:row>10</xdr:row>
      <xdr:rowOff>5862</xdr:rowOff>
    </xdr:from>
    <xdr:to>
      <xdr:col>0</xdr:col>
      <xdr:colOff>1259930</xdr:colOff>
      <xdr:row>10</xdr:row>
      <xdr:rowOff>627188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1768E08-955E-47A6-A0BC-2948424B3A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5" y="5758962"/>
          <a:ext cx="1013745" cy="621326"/>
        </a:xfrm>
        <a:prstGeom prst="rect">
          <a:avLst/>
        </a:prstGeom>
      </xdr:spPr>
    </xdr:pic>
    <xdr:clientData/>
  </xdr:twoCellAnchor>
  <xdr:twoCellAnchor editAs="oneCell">
    <xdr:from>
      <xdr:col>0</xdr:col>
      <xdr:colOff>278423</xdr:colOff>
      <xdr:row>11</xdr:row>
      <xdr:rowOff>2930</xdr:rowOff>
    </xdr:from>
    <xdr:to>
      <xdr:col>0</xdr:col>
      <xdr:colOff>1219575</xdr:colOff>
      <xdr:row>11</xdr:row>
      <xdr:rowOff>570670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64754BE-9D72-4111-B7B0-AF4F5A8CCD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3" y="6388490"/>
          <a:ext cx="941152" cy="567740"/>
        </a:xfrm>
        <a:prstGeom prst="rect">
          <a:avLst/>
        </a:prstGeom>
      </xdr:spPr>
    </xdr:pic>
    <xdr:clientData/>
  </xdr:twoCellAnchor>
  <xdr:twoCellAnchor editAs="oneCell">
    <xdr:from>
      <xdr:col>0</xdr:col>
      <xdr:colOff>193432</xdr:colOff>
      <xdr:row>12</xdr:row>
      <xdr:rowOff>11724</xdr:rowOff>
    </xdr:from>
    <xdr:to>
      <xdr:col>0</xdr:col>
      <xdr:colOff>1237900</xdr:colOff>
      <xdr:row>12</xdr:row>
      <xdr:rowOff>609601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11E086C1-8981-4C5C-B772-A1FE5720E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432" y="7029744"/>
          <a:ext cx="1044468" cy="597877"/>
        </a:xfrm>
        <a:prstGeom prst="rect">
          <a:avLst/>
        </a:prstGeom>
      </xdr:spPr>
    </xdr:pic>
    <xdr:clientData/>
  </xdr:twoCellAnchor>
  <xdr:twoCellAnchor editAs="oneCell">
    <xdr:from>
      <xdr:col>0</xdr:col>
      <xdr:colOff>205154</xdr:colOff>
      <xdr:row>12</xdr:row>
      <xdr:rowOff>615461</xdr:rowOff>
    </xdr:from>
    <xdr:to>
      <xdr:col>0</xdr:col>
      <xdr:colOff>1218079</xdr:colOff>
      <xdr:row>13</xdr:row>
      <xdr:rowOff>626797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3590CB7-FB34-4948-8936-130AB4BD44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4" y="7633481"/>
          <a:ext cx="1012925" cy="643796"/>
        </a:xfrm>
        <a:prstGeom prst="rect">
          <a:avLst/>
        </a:prstGeom>
      </xdr:spPr>
    </xdr:pic>
    <xdr:clientData/>
  </xdr:twoCellAnchor>
  <xdr:twoCellAnchor editAs="oneCell">
    <xdr:from>
      <xdr:col>0</xdr:col>
      <xdr:colOff>211015</xdr:colOff>
      <xdr:row>22</xdr:row>
      <xdr:rowOff>26377</xdr:rowOff>
    </xdr:from>
    <xdr:to>
      <xdr:col>0</xdr:col>
      <xdr:colOff>1247425</xdr:colOff>
      <xdr:row>22</xdr:row>
      <xdr:rowOff>601737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BC44B7B7-C4F3-46B1-9CA5-D0D135E110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5" y="13368997"/>
          <a:ext cx="1036410" cy="575360"/>
        </a:xfrm>
        <a:prstGeom prst="rect">
          <a:avLst/>
        </a:prstGeom>
      </xdr:spPr>
    </xdr:pic>
    <xdr:clientData/>
  </xdr:twoCellAnchor>
  <xdr:twoCellAnchor editAs="oneCell">
    <xdr:from>
      <xdr:col>0</xdr:col>
      <xdr:colOff>254972</xdr:colOff>
      <xdr:row>3</xdr:row>
      <xdr:rowOff>14653</xdr:rowOff>
    </xdr:from>
    <xdr:to>
      <xdr:col>0</xdr:col>
      <xdr:colOff>1170912</xdr:colOff>
      <xdr:row>3</xdr:row>
      <xdr:rowOff>629090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E24EE21-DD41-4A12-A099-E700CC4DCA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972" y="1340533"/>
          <a:ext cx="915940" cy="614437"/>
        </a:xfrm>
        <a:prstGeom prst="rect">
          <a:avLst/>
        </a:prstGeom>
      </xdr:spPr>
    </xdr:pic>
    <xdr:clientData/>
  </xdr:twoCellAnchor>
  <xdr:twoCellAnchor editAs="oneCell">
    <xdr:from>
      <xdr:col>0</xdr:col>
      <xdr:colOff>172915</xdr:colOff>
      <xdr:row>18</xdr:row>
      <xdr:rowOff>38101</xdr:rowOff>
    </xdr:from>
    <xdr:to>
      <xdr:col>0</xdr:col>
      <xdr:colOff>1260670</xdr:colOff>
      <xdr:row>18</xdr:row>
      <xdr:rowOff>599135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A78331D-7CDC-4A31-ADD3-0EF761ED8B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15" y="10850881"/>
          <a:ext cx="1087755" cy="561034"/>
        </a:xfrm>
        <a:prstGeom prst="rect">
          <a:avLst/>
        </a:prstGeom>
      </xdr:spPr>
    </xdr:pic>
    <xdr:clientData/>
  </xdr:twoCellAnchor>
  <xdr:twoCellAnchor editAs="oneCell">
    <xdr:from>
      <xdr:col>0</xdr:col>
      <xdr:colOff>199293</xdr:colOff>
      <xdr:row>19</xdr:row>
      <xdr:rowOff>2931</xdr:rowOff>
    </xdr:from>
    <xdr:to>
      <xdr:col>0</xdr:col>
      <xdr:colOff>1169892</xdr:colOff>
      <xdr:row>19</xdr:row>
      <xdr:rowOff>589672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2A924E3-9753-45EA-984F-94ECB0877B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93" y="11448171"/>
          <a:ext cx="970599" cy="58674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85010</xdr:colOff>
      <xdr:row>8</xdr:row>
      <xdr:rowOff>14638</xdr:rowOff>
    </xdr:from>
    <xdr:to>
      <xdr:col>0</xdr:col>
      <xdr:colOff>1257299</xdr:colOff>
      <xdr:row>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7FDABA-A90B-404D-8FEA-E158BCCE96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10" y="4502818"/>
          <a:ext cx="1172289" cy="617822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7</xdr:row>
      <xdr:rowOff>6708</xdr:rowOff>
    </xdr:from>
    <xdr:to>
      <xdr:col>0</xdr:col>
      <xdr:colOff>1253490</xdr:colOff>
      <xdr:row>8</xdr:row>
      <xdr:rowOff>8500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544CED-6F00-4CB0-8F75-6BD9E97D5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3862428"/>
          <a:ext cx="1093470" cy="63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109500</xdr:colOff>
      <xdr:row>6</xdr:row>
      <xdr:rowOff>14222</xdr:rowOff>
    </xdr:from>
    <xdr:to>
      <xdr:col>0</xdr:col>
      <xdr:colOff>1253490</xdr:colOff>
      <xdr:row>6</xdr:row>
      <xdr:rowOff>620039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D314652-1286-4821-96E3-A51578D04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00" y="3237482"/>
          <a:ext cx="1143990" cy="605817"/>
        </a:xfrm>
        <a:prstGeom prst="rect">
          <a:avLst/>
        </a:prstGeom>
      </xdr:spPr>
    </xdr:pic>
    <xdr:clientData/>
  </xdr:twoCellAnchor>
  <xdr:twoCellAnchor editAs="oneCell">
    <xdr:from>
      <xdr:col>0</xdr:col>
      <xdr:colOff>220981</xdr:colOff>
      <xdr:row>4</xdr:row>
      <xdr:rowOff>19050</xdr:rowOff>
    </xdr:from>
    <xdr:to>
      <xdr:col>0</xdr:col>
      <xdr:colOff>1162051</xdr:colOff>
      <xdr:row>4</xdr:row>
      <xdr:rowOff>610771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E56C24C-A6F1-470E-91BB-225C314F6E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1" y="1977390"/>
          <a:ext cx="941070" cy="591721"/>
        </a:xfrm>
        <a:prstGeom prst="rect">
          <a:avLst/>
        </a:prstGeom>
      </xdr:spPr>
    </xdr:pic>
    <xdr:clientData/>
  </xdr:twoCellAnchor>
  <xdr:twoCellAnchor editAs="oneCell">
    <xdr:from>
      <xdr:col>0</xdr:col>
      <xdr:colOff>124871</xdr:colOff>
      <xdr:row>5</xdr:row>
      <xdr:rowOff>19050</xdr:rowOff>
    </xdr:from>
    <xdr:to>
      <xdr:col>0</xdr:col>
      <xdr:colOff>1058747</xdr:colOff>
      <xdr:row>5</xdr:row>
      <xdr:rowOff>617220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D1C7A8C-CF00-4A47-8E23-84CA2983C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71" y="2609850"/>
          <a:ext cx="933876" cy="598170"/>
        </a:xfrm>
        <a:prstGeom prst="rect">
          <a:avLst/>
        </a:prstGeom>
      </xdr:spPr>
    </xdr:pic>
    <xdr:clientData/>
  </xdr:twoCellAnchor>
  <xdr:twoCellAnchor editAs="oneCell">
    <xdr:from>
      <xdr:col>0</xdr:col>
      <xdr:colOff>93785</xdr:colOff>
      <xdr:row>2</xdr:row>
      <xdr:rowOff>52524</xdr:rowOff>
    </xdr:from>
    <xdr:to>
      <xdr:col>0</xdr:col>
      <xdr:colOff>1257593</xdr:colOff>
      <xdr:row>2</xdr:row>
      <xdr:rowOff>601654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DF92610-A2DF-4C3A-B4BB-98DF4111E1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85" y="745944"/>
          <a:ext cx="1163808" cy="549130"/>
        </a:xfrm>
        <a:prstGeom prst="rect">
          <a:avLst/>
        </a:prstGeom>
      </xdr:spPr>
    </xdr:pic>
    <xdr:clientData/>
  </xdr:twoCellAnchor>
  <xdr:twoCellAnchor editAs="oneCell">
    <xdr:from>
      <xdr:col>0</xdr:col>
      <xdr:colOff>58615</xdr:colOff>
      <xdr:row>14</xdr:row>
      <xdr:rowOff>0</xdr:rowOff>
    </xdr:from>
    <xdr:to>
      <xdr:col>0</xdr:col>
      <xdr:colOff>1254076</xdr:colOff>
      <xdr:row>14</xdr:row>
      <xdr:rowOff>570206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0C3398C-0DAE-4A10-A7C0-E1B6712C12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15" y="8282940"/>
          <a:ext cx="1195461" cy="570206"/>
        </a:xfrm>
        <a:prstGeom prst="rect">
          <a:avLst/>
        </a:prstGeom>
      </xdr:spPr>
    </xdr:pic>
    <xdr:clientData/>
  </xdr:twoCellAnchor>
  <xdr:twoCellAnchor editAs="oneCell">
    <xdr:from>
      <xdr:col>0</xdr:col>
      <xdr:colOff>77140</xdr:colOff>
      <xdr:row>15</xdr:row>
      <xdr:rowOff>35173</xdr:rowOff>
    </xdr:from>
    <xdr:to>
      <xdr:col>0</xdr:col>
      <xdr:colOff>1258271</xdr:colOff>
      <xdr:row>15</xdr:row>
      <xdr:rowOff>589964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4F6E9E-9642-450D-9A8C-6A5B45F753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40" y="8950573"/>
          <a:ext cx="1181131" cy="554791"/>
        </a:xfrm>
        <a:prstGeom prst="rect">
          <a:avLst/>
        </a:prstGeom>
      </xdr:spPr>
    </xdr:pic>
    <xdr:clientData/>
  </xdr:twoCellAnchor>
  <xdr:twoCellAnchor editAs="oneCell">
    <xdr:from>
      <xdr:col>0</xdr:col>
      <xdr:colOff>281354</xdr:colOff>
      <xdr:row>16</xdr:row>
      <xdr:rowOff>16212</xdr:rowOff>
    </xdr:from>
    <xdr:to>
      <xdr:col>0</xdr:col>
      <xdr:colOff>1227112</xdr:colOff>
      <xdr:row>16</xdr:row>
      <xdr:rowOff>610082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44B7776-20E7-4962-9128-110B324277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354" y="9564072"/>
          <a:ext cx="945758" cy="593870"/>
        </a:xfrm>
        <a:prstGeom prst="rect">
          <a:avLst/>
        </a:prstGeom>
      </xdr:spPr>
    </xdr:pic>
    <xdr:clientData/>
  </xdr:twoCellAnchor>
  <xdr:twoCellAnchor editAs="oneCell">
    <xdr:from>
      <xdr:col>0</xdr:col>
      <xdr:colOff>243253</xdr:colOff>
      <xdr:row>17</xdr:row>
      <xdr:rowOff>25548</xdr:rowOff>
    </xdr:from>
    <xdr:to>
      <xdr:col>0</xdr:col>
      <xdr:colOff>1171427</xdr:colOff>
      <xdr:row>17</xdr:row>
      <xdr:rowOff>610768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ABA43ED-A43B-4486-83E6-B87910D951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53" y="10205868"/>
          <a:ext cx="928174" cy="585220"/>
        </a:xfrm>
        <a:prstGeom prst="rect">
          <a:avLst/>
        </a:prstGeom>
      </xdr:spPr>
    </xdr:pic>
    <xdr:clientData/>
  </xdr:twoCellAnchor>
  <xdr:twoCellAnchor editAs="oneCell">
    <xdr:from>
      <xdr:col>0</xdr:col>
      <xdr:colOff>187570</xdr:colOff>
      <xdr:row>20</xdr:row>
      <xdr:rowOff>14654</xdr:rowOff>
    </xdr:from>
    <xdr:to>
      <xdr:col>0</xdr:col>
      <xdr:colOff>1254465</xdr:colOff>
      <xdr:row>20</xdr:row>
      <xdr:rowOff>590014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F7105008-C2BC-4A05-AEDE-5A712E56D5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570" y="12092354"/>
          <a:ext cx="1066895" cy="575360"/>
        </a:xfrm>
        <a:prstGeom prst="rect">
          <a:avLst/>
        </a:prstGeom>
      </xdr:spPr>
    </xdr:pic>
    <xdr:clientData/>
  </xdr:twoCellAnchor>
  <xdr:twoCellAnchor editAs="oneCell">
    <xdr:from>
      <xdr:col>0</xdr:col>
      <xdr:colOff>193962</xdr:colOff>
      <xdr:row>21</xdr:row>
      <xdr:rowOff>26908</xdr:rowOff>
    </xdr:from>
    <xdr:to>
      <xdr:col>0</xdr:col>
      <xdr:colOff>1230372</xdr:colOff>
      <xdr:row>21</xdr:row>
      <xdr:rowOff>598458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73234A0-C1F3-4795-BA51-9F9B87878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962" y="12737068"/>
          <a:ext cx="1036410" cy="571550"/>
        </a:xfrm>
        <a:prstGeom prst="rect">
          <a:avLst/>
        </a:prstGeom>
      </xdr:spPr>
    </xdr:pic>
    <xdr:clientData/>
  </xdr:twoCellAnchor>
  <xdr:twoCellAnchor editAs="oneCell">
    <xdr:from>
      <xdr:col>0</xdr:col>
      <xdr:colOff>52754</xdr:colOff>
      <xdr:row>9</xdr:row>
      <xdr:rowOff>2931</xdr:rowOff>
    </xdr:from>
    <xdr:to>
      <xdr:col>0</xdr:col>
      <xdr:colOff>1255093</xdr:colOff>
      <xdr:row>9</xdr:row>
      <xdr:rowOff>572380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6A86844-D1ED-4607-BDAE-5CF6925053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54" y="5123571"/>
          <a:ext cx="1202339" cy="569449"/>
        </a:xfrm>
        <a:prstGeom prst="rect">
          <a:avLst/>
        </a:prstGeom>
      </xdr:spPr>
    </xdr:pic>
    <xdr:clientData/>
  </xdr:twoCellAnchor>
  <xdr:twoCellAnchor editAs="oneCell">
    <xdr:from>
      <xdr:col>0</xdr:col>
      <xdr:colOff>246185</xdr:colOff>
      <xdr:row>10</xdr:row>
      <xdr:rowOff>5862</xdr:rowOff>
    </xdr:from>
    <xdr:to>
      <xdr:col>0</xdr:col>
      <xdr:colOff>1259930</xdr:colOff>
      <xdr:row>10</xdr:row>
      <xdr:rowOff>627188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43A8148-0AB8-46DF-9479-6103D5B1D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5" y="5758962"/>
          <a:ext cx="1013745" cy="621326"/>
        </a:xfrm>
        <a:prstGeom prst="rect">
          <a:avLst/>
        </a:prstGeom>
      </xdr:spPr>
    </xdr:pic>
    <xdr:clientData/>
  </xdr:twoCellAnchor>
  <xdr:twoCellAnchor editAs="oneCell">
    <xdr:from>
      <xdr:col>0</xdr:col>
      <xdr:colOff>278423</xdr:colOff>
      <xdr:row>11</xdr:row>
      <xdr:rowOff>2930</xdr:rowOff>
    </xdr:from>
    <xdr:to>
      <xdr:col>0</xdr:col>
      <xdr:colOff>1219575</xdr:colOff>
      <xdr:row>11</xdr:row>
      <xdr:rowOff>570670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9F2AFA08-C0D5-40C4-B281-BB4D13EA8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3" y="6388490"/>
          <a:ext cx="941152" cy="567740"/>
        </a:xfrm>
        <a:prstGeom prst="rect">
          <a:avLst/>
        </a:prstGeom>
      </xdr:spPr>
    </xdr:pic>
    <xdr:clientData/>
  </xdr:twoCellAnchor>
  <xdr:twoCellAnchor editAs="oneCell">
    <xdr:from>
      <xdr:col>0</xdr:col>
      <xdr:colOff>193432</xdr:colOff>
      <xdr:row>12</xdr:row>
      <xdr:rowOff>11724</xdr:rowOff>
    </xdr:from>
    <xdr:to>
      <xdr:col>0</xdr:col>
      <xdr:colOff>1237900</xdr:colOff>
      <xdr:row>12</xdr:row>
      <xdr:rowOff>609601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A740BAEC-D1AF-44D3-B247-B13525B548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432" y="7029744"/>
          <a:ext cx="1044468" cy="597877"/>
        </a:xfrm>
        <a:prstGeom prst="rect">
          <a:avLst/>
        </a:prstGeom>
      </xdr:spPr>
    </xdr:pic>
    <xdr:clientData/>
  </xdr:twoCellAnchor>
  <xdr:twoCellAnchor editAs="oneCell">
    <xdr:from>
      <xdr:col>0</xdr:col>
      <xdr:colOff>205154</xdr:colOff>
      <xdr:row>12</xdr:row>
      <xdr:rowOff>615461</xdr:rowOff>
    </xdr:from>
    <xdr:to>
      <xdr:col>0</xdr:col>
      <xdr:colOff>1218079</xdr:colOff>
      <xdr:row>13</xdr:row>
      <xdr:rowOff>626797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FAC7D5A-9E9B-4E41-AC8B-01825D00D6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4" y="7633481"/>
          <a:ext cx="1012925" cy="643796"/>
        </a:xfrm>
        <a:prstGeom prst="rect">
          <a:avLst/>
        </a:prstGeom>
      </xdr:spPr>
    </xdr:pic>
    <xdr:clientData/>
  </xdr:twoCellAnchor>
  <xdr:twoCellAnchor editAs="oneCell">
    <xdr:from>
      <xdr:col>0</xdr:col>
      <xdr:colOff>211015</xdr:colOff>
      <xdr:row>22</xdr:row>
      <xdr:rowOff>26377</xdr:rowOff>
    </xdr:from>
    <xdr:to>
      <xdr:col>0</xdr:col>
      <xdr:colOff>1247425</xdr:colOff>
      <xdr:row>22</xdr:row>
      <xdr:rowOff>601737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658BCC0-53E2-4EDC-A4FB-44DABAD302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5" y="13368997"/>
          <a:ext cx="1036410" cy="575360"/>
        </a:xfrm>
        <a:prstGeom prst="rect">
          <a:avLst/>
        </a:prstGeom>
      </xdr:spPr>
    </xdr:pic>
    <xdr:clientData/>
  </xdr:twoCellAnchor>
  <xdr:twoCellAnchor editAs="oneCell">
    <xdr:from>
      <xdr:col>0</xdr:col>
      <xdr:colOff>254972</xdr:colOff>
      <xdr:row>3</xdr:row>
      <xdr:rowOff>14653</xdr:rowOff>
    </xdr:from>
    <xdr:to>
      <xdr:col>0</xdr:col>
      <xdr:colOff>1170912</xdr:colOff>
      <xdr:row>3</xdr:row>
      <xdr:rowOff>629090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B11660E-C70A-4E4D-8E6C-7C67E4642C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972" y="1340533"/>
          <a:ext cx="915940" cy="614437"/>
        </a:xfrm>
        <a:prstGeom prst="rect">
          <a:avLst/>
        </a:prstGeom>
      </xdr:spPr>
    </xdr:pic>
    <xdr:clientData/>
  </xdr:twoCellAnchor>
  <xdr:twoCellAnchor editAs="oneCell">
    <xdr:from>
      <xdr:col>0</xdr:col>
      <xdr:colOff>172915</xdr:colOff>
      <xdr:row>18</xdr:row>
      <xdr:rowOff>38101</xdr:rowOff>
    </xdr:from>
    <xdr:to>
      <xdr:col>0</xdr:col>
      <xdr:colOff>1260670</xdr:colOff>
      <xdr:row>18</xdr:row>
      <xdr:rowOff>599135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8C676BF5-50B6-45C7-83DC-CA5630656E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15" y="10850881"/>
          <a:ext cx="1087755" cy="561034"/>
        </a:xfrm>
        <a:prstGeom prst="rect">
          <a:avLst/>
        </a:prstGeom>
      </xdr:spPr>
    </xdr:pic>
    <xdr:clientData/>
  </xdr:twoCellAnchor>
  <xdr:twoCellAnchor editAs="oneCell">
    <xdr:from>
      <xdr:col>0</xdr:col>
      <xdr:colOff>199293</xdr:colOff>
      <xdr:row>19</xdr:row>
      <xdr:rowOff>2931</xdr:rowOff>
    </xdr:from>
    <xdr:to>
      <xdr:col>0</xdr:col>
      <xdr:colOff>1169892</xdr:colOff>
      <xdr:row>19</xdr:row>
      <xdr:rowOff>589672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503BA4D-D3B1-4BFF-8235-6DA2C0D070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93" y="11448171"/>
          <a:ext cx="970599" cy="58674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85010</xdr:colOff>
      <xdr:row>8</xdr:row>
      <xdr:rowOff>14638</xdr:rowOff>
    </xdr:from>
    <xdr:to>
      <xdr:col>0</xdr:col>
      <xdr:colOff>1257299</xdr:colOff>
      <xdr:row>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210749-E391-4322-AF05-8A163008A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010" y="4502818"/>
          <a:ext cx="1172289" cy="617822"/>
        </a:xfrm>
        <a:prstGeom prst="rect">
          <a:avLst/>
        </a:prstGeom>
      </xdr:spPr>
    </xdr:pic>
    <xdr:clientData/>
  </xdr:twoCellAnchor>
  <xdr:twoCellAnchor editAs="oneCell">
    <xdr:from>
      <xdr:col>0</xdr:col>
      <xdr:colOff>160020</xdr:colOff>
      <xdr:row>7</xdr:row>
      <xdr:rowOff>6708</xdr:rowOff>
    </xdr:from>
    <xdr:to>
      <xdr:col>0</xdr:col>
      <xdr:colOff>1253490</xdr:colOff>
      <xdr:row>8</xdr:row>
      <xdr:rowOff>8500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895950-967F-475C-8153-85B2D26B92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3862428"/>
          <a:ext cx="1093470" cy="63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109500</xdr:colOff>
      <xdr:row>6</xdr:row>
      <xdr:rowOff>14222</xdr:rowOff>
    </xdr:from>
    <xdr:to>
      <xdr:col>0</xdr:col>
      <xdr:colOff>1253490</xdr:colOff>
      <xdr:row>6</xdr:row>
      <xdr:rowOff>620039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86B5C2-493C-4A62-8248-5E8E3261C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500" y="3237482"/>
          <a:ext cx="1143990" cy="605817"/>
        </a:xfrm>
        <a:prstGeom prst="rect">
          <a:avLst/>
        </a:prstGeom>
      </xdr:spPr>
    </xdr:pic>
    <xdr:clientData/>
  </xdr:twoCellAnchor>
  <xdr:twoCellAnchor editAs="oneCell">
    <xdr:from>
      <xdr:col>0</xdr:col>
      <xdr:colOff>220981</xdr:colOff>
      <xdr:row>4</xdr:row>
      <xdr:rowOff>19050</xdr:rowOff>
    </xdr:from>
    <xdr:to>
      <xdr:col>0</xdr:col>
      <xdr:colOff>1162051</xdr:colOff>
      <xdr:row>4</xdr:row>
      <xdr:rowOff>610771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F59E01-0AC1-4346-A699-7C16EFDF3E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0981" y="1977390"/>
          <a:ext cx="941070" cy="591721"/>
        </a:xfrm>
        <a:prstGeom prst="rect">
          <a:avLst/>
        </a:prstGeom>
      </xdr:spPr>
    </xdr:pic>
    <xdr:clientData/>
  </xdr:twoCellAnchor>
  <xdr:twoCellAnchor editAs="oneCell">
    <xdr:from>
      <xdr:col>0</xdr:col>
      <xdr:colOff>124871</xdr:colOff>
      <xdr:row>5</xdr:row>
      <xdr:rowOff>19050</xdr:rowOff>
    </xdr:from>
    <xdr:to>
      <xdr:col>0</xdr:col>
      <xdr:colOff>1058747</xdr:colOff>
      <xdr:row>5</xdr:row>
      <xdr:rowOff>617220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CF31BB5-5D74-43C2-8266-C2CA5B74B1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871" y="2609850"/>
          <a:ext cx="933876" cy="598170"/>
        </a:xfrm>
        <a:prstGeom prst="rect">
          <a:avLst/>
        </a:prstGeom>
      </xdr:spPr>
    </xdr:pic>
    <xdr:clientData/>
  </xdr:twoCellAnchor>
  <xdr:twoCellAnchor editAs="oneCell">
    <xdr:from>
      <xdr:col>0</xdr:col>
      <xdr:colOff>93785</xdr:colOff>
      <xdr:row>2</xdr:row>
      <xdr:rowOff>52524</xdr:rowOff>
    </xdr:from>
    <xdr:to>
      <xdr:col>0</xdr:col>
      <xdr:colOff>1257593</xdr:colOff>
      <xdr:row>2</xdr:row>
      <xdr:rowOff>601654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9CA96F4-B28B-4A70-BCB7-544CAA02C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785" y="745944"/>
          <a:ext cx="1163808" cy="549130"/>
        </a:xfrm>
        <a:prstGeom prst="rect">
          <a:avLst/>
        </a:prstGeom>
      </xdr:spPr>
    </xdr:pic>
    <xdr:clientData/>
  </xdr:twoCellAnchor>
  <xdr:twoCellAnchor editAs="oneCell">
    <xdr:from>
      <xdr:col>0</xdr:col>
      <xdr:colOff>58615</xdr:colOff>
      <xdr:row>14</xdr:row>
      <xdr:rowOff>0</xdr:rowOff>
    </xdr:from>
    <xdr:to>
      <xdr:col>0</xdr:col>
      <xdr:colOff>1254076</xdr:colOff>
      <xdr:row>14</xdr:row>
      <xdr:rowOff>570206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EF3B096-47B7-4EC0-BB24-8818C34227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615" y="8282940"/>
          <a:ext cx="1195461" cy="570206"/>
        </a:xfrm>
        <a:prstGeom prst="rect">
          <a:avLst/>
        </a:prstGeom>
      </xdr:spPr>
    </xdr:pic>
    <xdr:clientData/>
  </xdr:twoCellAnchor>
  <xdr:twoCellAnchor editAs="oneCell">
    <xdr:from>
      <xdr:col>0</xdr:col>
      <xdr:colOff>77140</xdr:colOff>
      <xdr:row>15</xdr:row>
      <xdr:rowOff>35173</xdr:rowOff>
    </xdr:from>
    <xdr:to>
      <xdr:col>0</xdr:col>
      <xdr:colOff>1258271</xdr:colOff>
      <xdr:row>15</xdr:row>
      <xdr:rowOff>589964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7D75D9F-4FFA-4643-A406-D6F7844CD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140" y="8950573"/>
          <a:ext cx="1181131" cy="554791"/>
        </a:xfrm>
        <a:prstGeom prst="rect">
          <a:avLst/>
        </a:prstGeom>
      </xdr:spPr>
    </xdr:pic>
    <xdr:clientData/>
  </xdr:twoCellAnchor>
  <xdr:twoCellAnchor editAs="oneCell">
    <xdr:from>
      <xdr:col>0</xdr:col>
      <xdr:colOff>281354</xdr:colOff>
      <xdr:row>16</xdr:row>
      <xdr:rowOff>16212</xdr:rowOff>
    </xdr:from>
    <xdr:to>
      <xdr:col>0</xdr:col>
      <xdr:colOff>1227112</xdr:colOff>
      <xdr:row>16</xdr:row>
      <xdr:rowOff>610082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3FAAE0D-715B-4003-B329-FB99A16898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1354" y="9564072"/>
          <a:ext cx="945758" cy="593870"/>
        </a:xfrm>
        <a:prstGeom prst="rect">
          <a:avLst/>
        </a:prstGeom>
      </xdr:spPr>
    </xdr:pic>
    <xdr:clientData/>
  </xdr:twoCellAnchor>
  <xdr:twoCellAnchor editAs="oneCell">
    <xdr:from>
      <xdr:col>0</xdr:col>
      <xdr:colOff>243253</xdr:colOff>
      <xdr:row>17</xdr:row>
      <xdr:rowOff>25548</xdr:rowOff>
    </xdr:from>
    <xdr:to>
      <xdr:col>0</xdr:col>
      <xdr:colOff>1171427</xdr:colOff>
      <xdr:row>17</xdr:row>
      <xdr:rowOff>610768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5FC2690-5C3F-495C-93BF-9A8B607009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3253" y="10205868"/>
          <a:ext cx="928174" cy="585220"/>
        </a:xfrm>
        <a:prstGeom prst="rect">
          <a:avLst/>
        </a:prstGeom>
      </xdr:spPr>
    </xdr:pic>
    <xdr:clientData/>
  </xdr:twoCellAnchor>
  <xdr:twoCellAnchor editAs="oneCell">
    <xdr:from>
      <xdr:col>0</xdr:col>
      <xdr:colOff>187570</xdr:colOff>
      <xdr:row>20</xdr:row>
      <xdr:rowOff>14654</xdr:rowOff>
    </xdr:from>
    <xdr:to>
      <xdr:col>0</xdr:col>
      <xdr:colOff>1254465</xdr:colOff>
      <xdr:row>20</xdr:row>
      <xdr:rowOff>590014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D86D038-B12E-473C-9718-5560EC92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570" y="12092354"/>
          <a:ext cx="1066895" cy="575360"/>
        </a:xfrm>
        <a:prstGeom prst="rect">
          <a:avLst/>
        </a:prstGeom>
      </xdr:spPr>
    </xdr:pic>
    <xdr:clientData/>
  </xdr:twoCellAnchor>
  <xdr:twoCellAnchor editAs="oneCell">
    <xdr:from>
      <xdr:col>0</xdr:col>
      <xdr:colOff>193962</xdr:colOff>
      <xdr:row>21</xdr:row>
      <xdr:rowOff>26908</xdr:rowOff>
    </xdr:from>
    <xdr:to>
      <xdr:col>0</xdr:col>
      <xdr:colOff>1230372</xdr:colOff>
      <xdr:row>21</xdr:row>
      <xdr:rowOff>598458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DAEB091-F2AA-4385-AFCA-E2B212CAC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962" y="12737068"/>
          <a:ext cx="1036410" cy="571550"/>
        </a:xfrm>
        <a:prstGeom prst="rect">
          <a:avLst/>
        </a:prstGeom>
      </xdr:spPr>
    </xdr:pic>
    <xdr:clientData/>
  </xdr:twoCellAnchor>
  <xdr:twoCellAnchor editAs="oneCell">
    <xdr:from>
      <xdr:col>0</xdr:col>
      <xdr:colOff>52754</xdr:colOff>
      <xdr:row>9</xdr:row>
      <xdr:rowOff>2931</xdr:rowOff>
    </xdr:from>
    <xdr:to>
      <xdr:col>0</xdr:col>
      <xdr:colOff>1255093</xdr:colOff>
      <xdr:row>9</xdr:row>
      <xdr:rowOff>572380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0FE46E2-5723-4B6A-B1A4-C28C218C0C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754" y="5123571"/>
          <a:ext cx="1202339" cy="569449"/>
        </a:xfrm>
        <a:prstGeom prst="rect">
          <a:avLst/>
        </a:prstGeom>
      </xdr:spPr>
    </xdr:pic>
    <xdr:clientData/>
  </xdr:twoCellAnchor>
  <xdr:twoCellAnchor editAs="oneCell">
    <xdr:from>
      <xdr:col>0</xdr:col>
      <xdr:colOff>246185</xdr:colOff>
      <xdr:row>10</xdr:row>
      <xdr:rowOff>5862</xdr:rowOff>
    </xdr:from>
    <xdr:to>
      <xdr:col>0</xdr:col>
      <xdr:colOff>1259930</xdr:colOff>
      <xdr:row>10</xdr:row>
      <xdr:rowOff>627188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22EB3D2B-BB73-47DC-A6CC-6438BEC5D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5" y="5758962"/>
          <a:ext cx="1013745" cy="621326"/>
        </a:xfrm>
        <a:prstGeom prst="rect">
          <a:avLst/>
        </a:prstGeom>
      </xdr:spPr>
    </xdr:pic>
    <xdr:clientData/>
  </xdr:twoCellAnchor>
  <xdr:twoCellAnchor editAs="oneCell">
    <xdr:from>
      <xdr:col>0</xdr:col>
      <xdr:colOff>278423</xdr:colOff>
      <xdr:row>11</xdr:row>
      <xdr:rowOff>2930</xdr:rowOff>
    </xdr:from>
    <xdr:to>
      <xdr:col>0</xdr:col>
      <xdr:colOff>1219575</xdr:colOff>
      <xdr:row>11</xdr:row>
      <xdr:rowOff>570670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EFAE2C82-0F1A-42BD-8574-78192BC2DD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3" y="6388490"/>
          <a:ext cx="941152" cy="567740"/>
        </a:xfrm>
        <a:prstGeom prst="rect">
          <a:avLst/>
        </a:prstGeom>
      </xdr:spPr>
    </xdr:pic>
    <xdr:clientData/>
  </xdr:twoCellAnchor>
  <xdr:twoCellAnchor editAs="oneCell">
    <xdr:from>
      <xdr:col>0</xdr:col>
      <xdr:colOff>193432</xdr:colOff>
      <xdr:row>12</xdr:row>
      <xdr:rowOff>11724</xdr:rowOff>
    </xdr:from>
    <xdr:to>
      <xdr:col>0</xdr:col>
      <xdr:colOff>1237900</xdr:colOff>
      <xdr:row>12</xdr:row>
      <xdr:rowOff>609601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26DD4C9-F4F2-4A2D-A162-C536684B2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3432" y="7029744"/>
          <a:ext cx="1044468" cy="597877"/>
        </a:xfrm>
        <a:prstGeom prst="rect">
          <a:avLst/>
        </a:prstGeom>
      </xdr:spPr>
    </xdr:pic>
    <xdr:clientData/>
  </xdr:twoCellAnchor>
  <xdr:twoCellAnchor editAs="oneCell">
    <xdr:from>
      <xdr:col>0</xdr:col>
      <xdr:colOff>205154</xdr:colOff>
      <xdr:row>12</xdr:row>
      <xdr:rowOff>615461</xdr:rowOff>
    </xdr:from>
    <xdr:to>
      <xdr:col>0</xdr:col>
      <xdr:colOff>1218079</xdr:colOff>
      <xdr:row>13</xdr:row>
      <xdr:rowOff>626797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19037DEF-5E73-4CF9-ADE8-E0C3FCEDC2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154" y="7633481"/>
          <a:ext cx="1012925" cy="643796"/>
        </a:xfrm>
        <a:prstGeom prst="rect">
          <a:avLst/>
        </a:prstGeom>
      </xdr:spPr>
    </xdr:pic>
    <xdr:clientData/>
  </xdr:twoCellAnchor>
  <xdr:twoCellAnchor editAs="oneCell">
    <xdr:from>
      <xdr:col>0</xdr:col>
      <xdr:colOff>211015</xdr:colOff>
      <xdr:row>22</xdr:row>
      <xdr:rowOff>26377</xdr:rowOff>
    </xdr:from>
    <xdr:to>
      <xdr:col>0</xdr:col>
      <xdr:colOff>1247425</xdr:colOff>
      <xdr:row>22</xdr:row>
      <xdr:rowOff>601737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71DC546-535E-480C-9E4A-F2745FD618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015" y="13368997"/>
          <a:ext cx="1036410" cy="575360"/>
        </a:xfrm>
        <a:prstGeom prst="rect">
          <a:avLst/>
        </a:prstGeom>
      </xdr:spPr>
    </xdr:pic>
    <xdr:clientData/>
  </xdr:twoCellAnchor>
  <xdr:twoCellAnchor editAs="oneCell">
    <xdr:from>
      <xdr:col>0</xdr:col>
      <xdr:colOff>254972</xdr:colOff>
      <xdr:row>3</xdr:row>
      <xdr:rowOff>14653</xdr:rowOff>
    </xdr:from>
    <xdr:to>
      <xdr:col>0</xdr:col>
      <xdr:colOff>1170912</xdr:colOff>
      <xdr:row>3</xdr:row>
      <xdr:rowOff>629090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83FBB2C0-4587-4548-A2CE-6FE0BF3BC7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972" y="1340533"/>
          <a:ext cx="915940" cy="614437"/>
        </a:xfrm>
        <a:prstGeom prst="rect">
          <a:avLst/>
        </a:prstGeom>
      </xdr:spPr>
    </xdr:pic>
    <xdr:clientData/>
  </xdr:twoCellAnchor>
  <xdr:twoCellAnchor editAs="oneCell">
    <xdr:from>
      <xdr:col>0</xdr:col>
      <xdr:colOff>172915</xdr:colOff>
      <xdr:row>18</xdr:row>
      <xdr:rowOff>38101</xdr:rowOff>
    </xdr:from>
    <xdr:to>
      <xdr:col>0</xdr:col>
      <xdr:colOff>1260670</xdr:colOff>
      <xdr:row>18</xdr:row>
      <xdr:rowOff>599135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55DEE8D9-5A5A-4F82-BCCC-4A23458393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2915" y="10850881"/>
          <a:ext cx="1087755" cy="561034"/>
        </a:xfrm>
        <a:prstGeom prst="rect">
          <a:avLst/>
        </a:prstGeom>
      </xdr:spPr>
    </xdr:pic>
    <xdr:clientData/>
  </xdr:twoCellAnchor>
  <xdr:twoCellAnchor editAs="oneCell">
    <xdr:from>
      <xdr:col>0</xdr:col>
      <xdr:colOff>199293</xdr:colOff>
      <xdr:row>19</xdr:row>
      <xdr:rowOff>2931</xdr:rowOff>
    </xdr:from>
    <xdr:to>
      <xdr:col>0</xdr:col>
      <xdr:colOff>1169892</xdr:colOff>
      <xdr:row>19</xdr:row>
      <xdr:rowOff>589672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850AAF30-7C70-43A8-AC1E-B6F95A008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9293" y="11448171"/>
          <a:ext cx="970599" cy="586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P37"/>
  <sheetViews>
    <sheetView topLeftCell="A4" zoomScale="80" zoomScaleNormal="80" workbookViewId="0">
      <selection activeCell="E3" sqref="E3"/>
    </sheetView>
  </sheetViews>
  <sheetFormatPr defaultColWidth="8.88671875" defaultRowHeight="14.4" x14ac:dyDescent="0.3"/>
  <cols>
    <col min="1" max="1" width="29.5546875" style="1" bestFit="1" customWidth="1"/>
    <col min="2" max="2" width="12.33203125" style="10" bestFit="1" customWidth="1"/>
    <col min="3" max="3" width="12" style="19" bestFit="1" customWidth="1"/>
    <col min="4" max="4" width="7" style="52" customWidth="1"/>
    <col min="5" max="5" width="11" style="4" customWidth="1"/>
    <col min="6" max="6" width="11.44140625" style="4" bestFit="1" customWidth="1"/>
    <col min="7" max="7" width="13.5546875" style="46" bestFit="1" customWidth="1"/>
    <col min="8" max="8" width="16.33203125" style="4" bestFit="1" customWidth="1"/>
    <col min="9" max="9" width="19.88671875" style="4" customWidth="1"/>
    <col min="12" max="16384" width="8.88671875" style="1"/>
  </cols>
  <sheetData>
    <row r="1" spans="1:16" x14ac:dyDescent="0.3">
      <c r="A1" s="3" t="s">
        <v>0</v>
      </c>
      <c r="B1" s="11"/>
      <c r="C1" s="21"/>
      <c r="D1" s="48"/>
      <c r="E1" s="7"/>
      <c r="F1" s="7"/>
      <c r="G1" s="42"/>
      <c r="H1" s="7"/>
      <c r="I1" s="7"/>
    </row>
    <row r="2" spans="1:16" s="2" customFormat="1" ht="40.200000000000003" x14ac:dyDescent="0.3">
      <c r="A2" s="28"/>
      <c r="B2" s="11" t="s">
        <v>1</v>
      </c>
      <c r="C2" s="36" t="s">
        <v>2</v>
      </c>
      <c r="D2" s="49" t="s">
        <v>3</v>
      </c>
      <c r="E2" s="37" t="s">
        <v>4</v>
      </c>
      <c r="F2" s="37" t="s">
        <v>5</v>
      </c>
      <c r="G2" s="43" t="s">
        <v>6</v>
      </c>
      <c r="H2" s="37" t="s">
        <v>7</v>
      </c>
      <c r="I2" s="37" t="s">
        <v>8</v>
      </c>
      <c r="J2" s="22"/>
      <c r="K2" s="22"/>
    </row>
    <row r="3" spans="1:16" ht="50.1" customHeight="1" x14ac:dyDescent="0.3">
      <c r="A3" s="3"/>
      <c r="B3" s="38" t="s">
        <v>9</v>
      </c>
      <c r="C3" s="40">
        <v>8691</v>
      </c>
      <c r="D3" s="50">
        <f>C3/C$25</f>
        <v>5.6791672384387683E-2</v>
      </c>
      <c r="E3" s="39">
        <v>28860</v>
      </c>
      <c r="F3" s="39">
        <v>31450</v>
      </c>
      <c r="G3" s="44">
        <f>1-E3/F3</f>
        <v>8.2352941176470629E-2</v>
      </c>
      <c r="H3" s="5">
        <f>E3*C3</f>
        <v>250822260</v>
      </c>
      <c r="I3" s="5">
        <f>F3*C3</f>
        <v>273331950</v>
      </c>
      <c r="N3"/>
      <c r="O3"/>
      <c r="P3"/>
    </row>
    <row r="4" spans="1:16" ht="50.1" customHeight="1" x14ac:dyDescent="0.3">
      <c r="A4" s="3"/>
      <c r="B4" s="11" t="s">
        <v>10</v>
      </c>
      <c r="C4" s="40">
        <v>7586</v>
      </c>
      <c r="D4" s="50">
        <f t="shared" ref="D4:D23" si="0">C4/C$25</f>
        <v>4.9571007560460817E-2</v>
      </c>
      <c r="E4" s="40">
        <v>29716</v>
      </c>
      <c r="F4" s="40">
        <v>32150</v>
      </c>
      <c r="G4" s="44">
        <f t="shared" ref="G4:G23" si="1">1-E4/F4</f>
        <v>7.5707620528771336E-2</v>
      </c>
      <c r="H4" s="8">
        <f t="shared" ref="H4:H23" si="2">E4*C4</f>
        <v>225425576</v>
      </c>
      <c r="I4" s="8">
        <f>F4*C4</f>
        <v>243889900</v>
      </c>
      <c r="N4"/>
      <c r="O4"/>
      <c r="P4"/>
    </row>
    <row r="5" spans="1:16" ht="50.1" customHeight="1" x14ac:dyDescent="0.3">
      <c r="A5" s="3"/>
      <c r="B5" s="11" t="s">
        <v>11</v>
      </c>
      <c r="C5" s="40">
        <v>7439</v>
      </c>
      <c r="D5" s="50">
        <f t="shared" si="0"/>
        <v>4.8610430430037967E-2</v>
      </c>
      <c r="E5" s="40">
        <v>17738</v>
      </c>
      <c r="F5" s="40">
        <v>19119</v>
      </c>
      <c r="G5" s="44">
        <f t="shared" si="1"/>
        <v>7.2231811287201242E-2</v>
      </c>
      <c r="H5" s="8">
        <f t="shared" si="2"/>
        <v>131952982</v>
      </c>
      <c r="I5" s="8">
        <f t="shared" ref="I5:I23" si="3">F5*C5</f>
        <v>142226241</v>
      </c>
    </row>
    <row r="6" spans="1:16" ht="50.1" customHeight="1" x14ac:dyDescent="0.3">
      <c r="A6" s="3"/>
      <c r="B6" s="11" t="s">
        <v>12</v>
      </c>
      <c r="C6" s="40">
        <v>0</v>
      </c>
      <c r="D6" s="50">
        <f t="shared" si="0"/>
        <v>0</v>
      </c>
      <c r="E6" s="40">
        <v>19356</v>
      </c>
      <c r="F6" s="40">
        <v>20900</v>
      </c>
      <c r="G6" s="44">
        <f t="shared" si="1"/>
        <v>7.3875598086124428E-2</v>
      </c>
      <c r="H6" s="8">
        <f t="shared" si="2"/>
        <v>0</v>
      </c>
      <c r="I6" s="8">
        <f t="shared" si="3"/>
        <v>0</v>
      </c>
    </row>
    <row r="7" spans="1:16" ht="50.1" customHeight="1" x14ac:dyDescent="0.3">
      <c r="A7" s="3"/>
      <c r="B7" s="11" t="s">
        <v>13</v>
      </c>
      <c r="C7" s="40">
        <v>9958</v>
      </c>
      <c r="D7" s="50">
        <f t="shared" si="0"/>
        <v>6.5070932413270346E-2</v>
      </c>
      <c r="E7" s="40">
        <v>26263</v>
      </c>
      <c r="F7" s="40">
        <v>28450</v>
      </c>
      <c r="G7" s="44">
        <f t="shared" si="1"/>
        <v>7.6871704745166913E-2</v>
      </c>
      <c r="H7" s="8">
        <f t="shared" si="2"/>
        <v>261526954</v>
      </c>
      <c r="I7" s="8">
        <f t="shared" si="3"/>
        <v>283305100</v>
      </c>
    </row>
    <row r="8" spans="1:16" ht="50.1" customHeight="1" x14ac:dyDescent="0.3">
      <c r="A8" s="3"/>
      <c r="B8" s="11" t="s">
        <v>14</v>
      </c>
      <c r="C8" s="40">
        <v>5865</v>
      </c>
      <c r="D8" s="50">
        <f t="shared" si="0"/>
        <v>3.8325067142381056E-2</v>
      </c>
      <c r="E8" s="40">
        <v>27847</v>
      </c>
      <c r="F8" s="40">
        <v>30175</v>
      </c>
      <c r="G8" s="44">
        <f t="shared" si="1"/>
        <v>7.7149958574979305E-2</v>
      </c>
      <c r="H8" s="8">
        <f t="shared" si="2"/>
        <v>163322655</v>
      </c>
      <c r="I8" s="8">
        <f t="shared" si="3"/>
        <v>176976375</v>
      </c>
    </row>
    <row r="9" spans="1:16" ht="50.1" customHeight="1" x14ac:dyDescent="0.3">
      <c r="A9" s="3"/>
      <c r="B9" s="11" t="s">
        <v>15</v>
      </c>
      <c r="C9" s="40">
        <v>8706</v>
      </c>
      <c r="D9" s="50">
        <f t="shared" si="0"/>
        <v>5.6889690458920623E-2</v>
      </c>
      <c r="E9" s="40">
        <v>30025</v>
      </c>
      <c r="F9" s="40">
        <v>32350</v>
      </c>
      <c r="G9" s="44">
        <f t="shared" si="1"/>
        <v>7.1870170015455925E-2</v>
      </c>
      <c r="H9" s="8">
        <f t="shared" si="2"/>
        <v>261397650</v>
      </c>
      <c r="I9" s="8">
        <f t="shared" si="3"/>
        <v>281639100</v>
      </c>
    </row>
    <row r="10" spans="1:16" ht="50.1" customHeight="1" x14ac:dyDescent="0.3">
      <c r="A10" s="3"/>
      <c r="B10" s="11" t="s">
        <v>16</v>
      </c>
      <c r="C10" s="40">
        <v>0</v>
      </c>
      <c r="D10" s="50">
        <f t="shared" si="0"/>
        <v>0</v>
      </c>
      <c r="E10" s="40">
        <v>35096</v>
      </c>
      <c r="F10" s="40">
        <v>38200</v>
      </c>
      <c r="G10" s="44">
        <f t="shared" si="1"/>
        <v>8.1256544502617767E-2</v>
      </c>
      <c r="H10" s="8">
        <f t="shared" si="2"/>
        <v>0</v>
      </c>
      <c r="I10" s="8">
        <f t="shared" si="3"/>
        <v>0</v>
      </c>
    </row>
    <row r="11" spans="1:16" ht="50.1" customHeight="1" x14ac:dyDescent="0.3">
      <c r="A11" s="3"/>
      <c r="B11" s="11" t="s">
        <v>17</v>
      </c>
      <c r="C11" s="40">
        <v>10023</v>
      </c>
      <c r="D11" s="50">
        <f t="shared" si="0"/>
        <v>6.5495677402913094E-2</v>
      </c>
      <c r="E11" s="40">
        <v>38762</v>
      </c>
      <c r="F11" s="40">
        <v>42500</v>
      </c>
      <c r="G11" s="44">
        <f t="shared" si="1"/>
        <v>8.7952941176470567E-2</v>
      </c>
      <c r="H11" s="8">
        <f t="shared" si="2"/>
        <v>388511526</v>
      </c>
      <c r="I11" s="8">
        <f t="shared" si="3"/>
        <v>425977500</v>
      </c>
    </row>
    <row r="12" spans="1:16" ht="50.1" customHeight="1" x14ac:dyDescent="0.3">
      <c r="A12" s="3"/>
      <c r="B12" s="11" t="s">
        <v>18</v>
      </c>
      <c r="C12" s="40">
        <v>9054</v>
      </c>
      <c r="D12" s="50">
        <f t="shared" si="0"/>
        <v>5.9163709788084926E-2</v>
      </c>
      <c r="E12" s="40">
        <v>37154</v>
      </c>
      <c r="F12" s="40">
        <v>40400</v>
      </c>
      <c r="G12" s="44">
        <f t="shared" si="1"/>
        <v>8.0346534653465307E-2</v>
      </c>
      <c r="H12" s="8">
        <f t="shared" si="2"/>
        <v>336392316</v>
      </c>
      <c r="I12" s="8">
        <f t="shared" si="3"/>
        <v>365781600</v>
      </c>
    </row>
    <row r="13" spans="1:16" ht="50.1" customHeight="1" x14ac:dyDescent="0.3">
      <c r="A13" s="3"/>
      <c r="B13" s="11" t="s">
        <v>19</v>
      </c>
      <c r="C13" s="40">
        <v>7705</v>
      </c>
      <c r="D13" s="50">
        <f t="shared" si="0"/>
        <v>5.0348617618422173E-2</v>
      </c>
      <c r="E13" s="40">
        <v>59967</v>
      </c>
      <c r="F13" s="40">
        <v>64900</v>
      </c>
      <c r="G13" s="44">
        <f t="shared" si="1"/>
        <v>7.6009244992295888E-2</v>
      </c>
      <c r="H13" s="8">
        <f t="shared" si="2"/>
        <v>462045735</v>
      </c>
      <c r="I13" s="8">
        <f t="shared" si="3"/>
        <v>500054500</v>
      </c>
    </row>
    <row r="14" spans="1:16" ht="50.1" customHeight="1" x14ac:dyDescent="0.3">
      <c r="A14" s="3"/>
      <c r="B14" s="11" t="s">
        <v>20</v>
      </c>
      <c r="C14" s="40">
        <v>5938</v>
      </c>
      <c r="D14" s="50">
        <f t="shared" si="0"/>
        <v>3.8802088438441379E-2</v>
      </c>
      <c r="E14" s="40">
        <v>57536</v>
      </c>
      <c r="F14" s="40">
        <v>62350</v>
      </c>
      <c r="G14" s="44">
        <f t="shared" si="1"/>
        <v>7.720930232558143E-2</v>
      </c>
      <c r="H14" s="8">
        <f t="shared" si="2"/>
        <v>341648768</v>
      </c>
      <c r="I14" s="8">
        <f t="shared" si="3"/>
        <v>370234300</v>
      </c>
    </row>
    <row r="15" spans="1:16" ht="50.1" customHeight="1" x14ac:dyDescent="0.3">
      <c r="A15" s="3"/>
      <c r="B15" s="11" t="s">
        <v>21</v>
      </c>
      <c r="C15" s="40">
        <v>5948</v>
      </c>
      <c r="D15" s="50">
        <f t="shared" si="0"/>
        <v>3.8867433821463342E-2</v>
      </c>
      <c r="E15" s="40">
        <v>24853</v>
      </c>
      <c r="F15" s="40">
        <v>27200</v>
      </c>
      <c r="G15" s="44">
        <f t="shared" si="1"/>
        <v>8.6286764705882368E-2</v>
      </c>
      <c r="H15" s="8">
        <f t="shared" si="2"/>
        <v>147825644</v>
      </c>
      <c r="I15" s="8">
        <f t="shared" si="3"/>
        <v>161785600</v>
      </c>
    </row>
    <row r="16" spans="1:16" ht="50.1" customHeight="1" x14ac:dyDescent="0.3">
      <c r="A16" s="3"/>
      <c r="B16" s="11" t="s">
        <v>22</v>
      </c>
      <c r="C16" s="40">
        <v>7300</v>
      </c>
      <c r="D16" s="50">
        <f t="shared" si="0"/>
        <v>4.7702129606032685E-2</v>
      </c>
      <c r="E16" s="40">
        <v>26494</v>
      </c>
      <c r="F16" s="40">
        <v>28700</v>
      </c>
      <c r="G16" s="44">
        <f t="shared" si="1"/>
        <v>7.6864111498257892E-2</v>
      </c>
      <c r="H16" s="8">
        <f t="shared" si="2"/>
        <v>193406200</v>
      </c>
      <c r="I16" s="8">
        <f t="shared" si="3"/>
        <v>209510000</v>
      </c>
    </row>
    <row r="17" spans="1:9" ht="50.1" customHeight="1" x14ac:dyDescent="0.3">
      <c r="A17" s="3"/>
      <c r="B17" s="11" t="s">
        <v>23</v>
      </c>
      <c r="C17" s="40">
        <v>8404</v>
      </c>
      <c r="D17" s="50">
        <f t="shared" si="0"/>
        <v>5.4916259891657354E-2</v>
      </c>
      <c r="E17" s="40">
        <v>16391</v>
      </c>
      <c r="F17" s="40">
        <v>17950</v>
      </c>
      <c r="G17" s="44">
        <f t="shared" si="1"/>
        <v>8.6852367688022292E-2</v>
      </c>
      <c r="H17" s="8">
        <f t="shared" si="2"/>
        <v>137749964</v>
      </c>
      <c r="I17" s="8">
        <f t="shared" si="3"/>
        <v>150851800</v>
      </c>
    </row>
    <row r="18" spans="1:9" ht="50.1" customHeight="1" x14ac:dyDescent="0.3">
      <c r="A18" s="3"/>
      <c r="B18" s="11" t="s">
        <v>24</v>
      </c>
      <c r="C18" s="40">
        <v>7220</v>
      </c>
      <c r="D18" s="50">
        <f t="shared" si="0"/>
        <v>4.7179366541856983E-2</v>
      </c>
      <c r="E18" s="40">
        <v>13204</v>
      </c>
      <c r="F18" s="40">
        <v>14350</v>
      </c>
      <c r="G18" s="44">
        <f t="shared" si="1"/>
        <v>7.9860627177700372E-2</v>
      </c>
      <c r="H18" s="8">
        <f t="shared" si="2"/>
        <v>95332880</v>
      </c>
      <c r="I18" s="8">
        <f t="shared" si="3"/>
        <v>103607000</v>
      </c>
    </row>
    <row r="19" spans="1:9" ht="50.1" customHeight="1" x14ac:dyDescent="0.3">
      <c r="A19" s="3"/>
      <c r="B19" s="11" t="s">
        <v>25</v>
      </c>
      <c r="C19" s="40">
        <v>10267</v>
      </c>
      <c r="D19" s="50">
        <f t="shared" si="0"/>
        <v>6.7090104748648988E-2</v>
      </c>
      <c r="E19" s="40">
        <v>22102</v>
      </c>
      <c r="F19" s="40">
        <v>24074.33</v>
      </c>
      <c r="G19" s="44">
        <f t="shared" si="1"/>
        <v>8.1926682902494163E-2</v>
      </c>
      <c r="H19" s="8">
        <f t="shared" si="2"/>
        <v>226921234</v>
      </c>
      <c r="I19" s="8">
        <f t="shared" si="3"/>
        <v>247171146.11000001</v>
      </c>
    </row>
    <row r="20" spans="1:9" ht="50.1" customHeight="1" x14ac:dyDescent="0.3">
      <c r="A20" s="3"/>
      <c r="B20" s="11" t="s">
        <v>26</v>
      </c>
      <c r="C20" s="40">
        <v>7515</v>
      </c>
      <c r="D20" s="50">
        <f t="shared" si="0"/>
        <v>4.9107055341004881E-2</v>
      </c>
      <c r="E20" s="40">
        <v>33778</v>
      </c>
      <c r="F20" s="40">
        <v>36519.22</v>
      </c>
      <c r="G20" s="44">
        <f t="shared" si="1"/>
        <v>7.50623918035489E-2</v>
      </c>
      <c r="H20" s="8">
        <f t="shared" si="2"/>
        <v>253841670</v>
      </c>
      <c r="I20" s="8">
        <f t="shared" si="3"/>
        <v>274441938.30000001</v>
      </c>
    </row>
    <row r="21" spans="1:9" ht="50.1" customHeight="1" x14ac:dyDescent="0.3">
      <c r="A21" s="3"/>
      <c r="B21" s="11" t="s">
        <v>27</v>
      </c>
      <c r="C21" s="40">
        <v>8525</v>
      </c>
      <c r="D21" s="50">
        <f t="shared" si="0"/>
        <v>5.5706939026223104E-2</v>
      </c>
      <c r="E21" s="40">
        <v>37356</v>
      </c>
      <c r="F21" s="40">
        <v>40950</v>
      </c>
      <c r="G21" s="44">
        <f t="shared" si="1"/>
        <v>8.7765567765567765E-2</v>
      </c>
      <c r="H21" s="8">
        <f t="shared" si="2"/>
        <v>318459900</v>
      </c>
      <c r="I21" s="8">
        <f t="shared" si="3"/>
        <v>349098750</v>
      </c>
    </row>
    <row r="22" spans="1:9" ht="50.1" customHeight="1" x14ac:dyDescent="0.3">
      <c r="A22" s="3"/>
      <c r="B22" s="11" t="s">
        <v>28</v>
      </c>
      <c r="C22" s="40">
        <v>6391</v>
      </c>
      <c r="D22" s="50">
        <f t="shared" si="0"/>
        <v>4.1762234289336286E-2</v>
      </c>
      <c r="E22" s="40">
        <v>39461</v>
      </c>
      <c r="F22" s="40">
        <v>42600</v>
      </c>
      <c r="G22" s="44">
        <f t="shared" si="1"/>
        <v>7.3685446009389644E-2</v>
      </c>
      <c r="H22" s="8">
        <f t="shared" si="2"/>
        <v>252195251</v>
      </c>
      <c r="I22" s="8">
        <f t="shared" si="3"/>
        <v>272256600</v>
      </c>
    </row>
    <row r="23" spans="1:9" ht="50.1" customHeight="1" x14ac:dyDescent="0.3">
      <c r="A23" s="3"/>
      <c r="B23" s="11" t="s">
        <v>29</v>
      </c>
      <c r="C23" s="40">
        <v>10498</v>
      </c>
      <c r="D23" s="50">
        <f t="shared" si="0"/>
        <v>6.8599583096456321E-2</v>
      </c>
      <c r="E23" s="40">
        <v>28206</v>
      </c>
      <c r="F23" s="40">
        <v>30900</v>
      </c>
      <c r="G23" s="44">
        <f t="shared" si="1"/>
        <v>8.7184466019417428E-2</v>
      </c>
      <c r="H23" s="8">
        <f t="shared" si="2"/>
        <v>296106588</v>
      </c>
      <c r="I23" s="8">
        <f t="shared" si="3"/>
        <v>324388200</v>
      </c>
    </row>
    <row r="24" spans="1:9" x14ac:dyDescent="0.3">
      <c r="A24" s="3"/>
      <c r="B24" s="12"/>
      <c r="C24" s="20"/>
      <c r="D24" s="51"/>
      <c r="E24" s="9"/>
      <c r="F24" s="9"/>
      <c r="G24" s="45"/>
      <c r="H24" s="6"/>
      <c r="I24" s="6"/>
    </row>
    <row r="25" spans="1:9" x14ac:dyDescent="0.3">
      <c r="A25" s="3"/>
      <c r="B25" s="11" t="s">
        <v>46</v>
      </c>
      <c r="C25" s="8">
        <f>SUM(C3:C23)</f>
        <v>153033</v>
      </c>
      <c r="D25" s="48"/>
      <c r="E25" s="7"/>
      <c r="F25" s="7"/>
      <c r="G25" s="42"/>
      <c r="H25" s="5">
        <f>SUM(H3:H23)</f>
        <v>4744885753</v>
      </c>
      <c r="I25" s="5">
        <f>SUM(I3:I23)</f>
        <v>5156527600.4099998</v>
      </c>
    </row>
    <row r="26" spans="1:9" x14ac:dyDescent="0.3">
      <c r="A26" s="3"/>
      <c r="B26" s="38" t="s">
        <v>30</v>
      </c>
      <c r="C26" s="8">
        <f>AVERAGE(C3:C23)</f>
        <v>7287.2857142857147</v>
      </c>
      <c r="D26" s="48"/>
      <c r="E26" s="5">
        <f>AVERAGE(E3:E23)</f>
        <v>30960.238095238095</v>
      </c>
      <c r="F26" s="5">
        <f>AVERAGE(F3:F23)</f>
        <v>33627.978571428568</v>
      </c>
      <c r="G26" s="42"/>
      <c r="H26" s="5">
        <f>AVERAGE(H3:H23)</f>
        <v>225946940.61904761</v>
      </c>
      <c r="I26" s="5">
        <f>AVERAGE(I3:I23)</f>
        <v>245548933.35285714</v>
      </c>
    </row>
    <row r="27" spans="1:9" x14ac:dyDescent="0.3">
      <c r="A27" s="3"/>
      <c r="B27" s="11" t="s">
        <v>31</v>
      </c>
      <c r="C27" s="8">
        <f>MAX(C3:C23)</f>
        <v>10498</v>
      </c>
      <c r="D27" s="48"/>
      <c r="E27" s="7"/>
      <c r="F27" s="7"/>
      <c r="G27" s="42"/>
      <c r="H27" s="7"/>
      <c r="I27" s="7"/>
    </row>
    <row r="28" spans="1:9" x14ac:dyDescent="0.3">
      <c r="A28" s="3"/>
      <c r="B28" s="11" t="s">
        <v>32</v>
      </c>
      <c r="C28" s="8">
        <f>MIN(C3:C23)</f>
        <v>0</v>
      </c>
      <c r="D28" s="48"/>
      <c r="E28" s="7"/>
      <c r="F28" s="7"/>
      <c r="G28" s="42"/>
      <c r="H28" s="7"/>
      <c r="I28" s="7"/>
    </row>
    <row r="29" spans="1:9" x14ac:dyDescent="0.3">
      <c r="A29" s="3"/>
      <c r="B29" s="11"/>
      <c r="C29" s="21"/>
      <c r="D29" s="48"/>
      <c r="E29" s="7"/>
      <c r="F29" s="7"/>
      <c r="G29" s="42"/>
      <c r="H29" s="7"/>
      <c r="I29" s="7"/>
    </row>
    <row r="30" spans="1:9" ht="30.6" customHeight="1" x14ac:dyDescent="0.3">
      <c r="A30" s="3"/>
      <c r="B30" s="54" t="s">
        <v>33</v>
      </c>
      <c r="C30" s="54"/>
      <c r="D30" s="54"/>
      <c r="E30" s="54"/>
      <c r="F30" s="54"/>
      <c r="G30" s="53">
        <f>COUNTA(B3:B23)</f>
        <v>21</v>
      </c>
      <c r="H30" s="7"/>
      <c r="I30" s="7"/>
    </row>
    <row r="32" spans="1:9" x14ac:dyDescent="0.3">
      <c r="B32" s="13">
        <v>45286</v>
      </c>
    </row>
    <row r="33" spans="2:2" x14ac:dyDescent="0.3">
      <c r="B33" s="13"/>
    </row>
    <row r="37" spans="2:2" x14ac:dyDescent="0.3">
      <c r="B37" s="13" t="str">
        <f>Semester</f>
        <v>2024 Spring</v>
      </c>
    </row>
  </sheetData>
  <mergeCells count="1">
    <mergeCell ref="B30:F30"/>
  </mergeCells>
  <pageMargins left="0.75" right="0.75" top="1" bottom="1" header="0.5" footer="0.5"/>
  <pageSetup orientation="portrait" horizontalDpi="4294967295" verticalDpi="4294967295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A65B-5A4E-4456-9A76-D9884B410DFF}">
  <sheetPr>
    <tabColor rgb="FFFFC000"/>
  </sheetPr>
  <dimension ref="A1:P37"/>
  <sheetViews>
    <sheetView topLeftCell="A20" zoomScale="72" zoomScaleNormal="30" workbookViewId="0">
      <selection activeCell="C16" sqref="C16"/>
    </sheetView>
  </sheetViews>
  <sheetFormatPr defaultColWidth="8.88671875" defaultRowHeight="14.4" x14ac:dyDescent="0.3"/>
  <cols>
    <col min="1" max="1" width="34.33203125" style="1" bestFit="1" customWidth="1"/>
    <col min="2" max="2" width="12.33203125" style="10" bestFit="1" customWidth="1"/>
    <col min="3" max="3" width="12" style="19" bestFit="1" customWidth="1"/>
    <col min="4" max="4" width="7" style="52" bestFit="1" customWidth="1"/>
    <col min="5" max="5" width="11" style="4" bestFit="1" customWidth="1"/>
    <col min="6" max="6" width="11.44140625" style="4" bestFit="1" customWidth="1"/>
    <col min="7" max="7" width="13.5546875" style="46" bestFit="1" customWidth="1"/>
    <col min="8" max="8" width="16.33203125" style="4" bestFit="1" customWidth="1"/>
    <col min="9" max="9" width="19.88671875" style="4" customWidth="1"/>
    <col min="12" max="16384" width="8.88671875" style="1"/>
  </cols>
  <sheetData>
    <row r="1" spans="1:16" x14ac:dyDescent="0.3">
      <c r="A1" s="3" t="s">
        <v>49</v>
      </c>
      <c r="B1" s="11"/>
      <c r="C1" s="21"/>
      <c r="D1" s="48"/>
      <c r="E1" s="7"/>
      <c r="F1" s="7"/>
      <c r="G1" s="42"/>
      <c r="H1" s="7"/>
      <c r="I1" s="7"/>
    </row>
    <row r="2" spans="1:16" s="2" customFormat="1" ht="40.200000000000003" x14ac:dyDescent="0.3">
      <c r="A2" s="28"/>
      <c r="B2" s="11" t="s">
        <v>1</v>
      </c>
      <c r="C2" s="36" t="s">
        <v>2</v>
      </c>
      <c r="D2" s="49" t="s">
        <v>3</v>
      </c>
      <c r="E2" s="37" t="s">
        <v>4</v>
      </c>
      <c r="F2" s="37" t="s">
        <v>5</v>
      </c>
      <c r="G2" s="43" t="s">
        <v>6</v>
      </c>
      <c r="H2" s="37" t="s">
        <v>7</v>
      </c>
      <c r="I2" s="37" t="s">
        <v>8</v>
      </c>
      <c r="J2" s="22"/>
      <c r="K2" s="22"/>
    </row>
    <row r="3" spans="1:16" ht="50.1" customHeight="1" x14ac:dyDescent="0.3">
      <c r="A3" s="3"/>
      <c r="B3" s="38" t="s">
        <v>9</v>
      </c>
      <c r="C3" s="21">
        <v>7670</v>
      </c>
      <c r="D3" s="50">
        <f>C3/C$25</f>
        <v>4.2550122602048178E-2</v>
      </c>
      <c r="E3" s="39">
        <v>28860</v>
      </c>
      <c r="F3" s="39">
        <v>31450</v>
      </c>
      <c r="G3" s="44">
        <f>1-E3/F3</f>
        <v>8.2352941176470629E-2</v>
      </c>
      <c r="H3" s="5">
        <f>E3*C3</f>
        <v>221356200</v>
      </c>
      <c r="I3" s="5">
        <f>F3*C3</f>
        <v>241221500</v>
      </c>
      <c r="N3"/>
      <c r="O3"/>
      <c r="P3"/>
    </row>
    <row r="4" spans="1:16" ht="50.1" customHeight="1" x14ac:dyDescent="0.3">
      <c r="A4" s="3"/>
      <c r="B4" s="11" t="s">
        <v>10</v>
      </c>
      <c r="C4" s="21">
        <v>10576</v>
      </c>
      <c r="D4" s="50">
        <f t="shared" ref="D4:D23" si="0">C4/C$25</f>
        <v>5.8671459796513885E-2</v>
      </c>
      <c r="E4" s="40">
        <v>29716</v>
      </c>
      <c r="F4" s="40">
        <v>32150</v>
      </c>
      <c r="G4" s="44">
        <f t="shared" ref="G4:G23" si="1">1-E4/F4</f>
        <v>7.5707620528771336E-2</v>
      </c>
      <c r="H4" s="8">
        <f t="shared" ref="H4:H23" si="2">E4*C4</f>
        <v>314276416</v>
      </c>
      <c r="I4" s="8">
        <f>F4*C4</f>
        <v>340018400</v>
      </c>
      <c r="N4"/>
      <c r="O4"/>
      <c r="P4"/>
    </row>
    <row r="5" spans="1:16" ht="50.1" customHeight="1" x14ac:dyDescent="0.3">
      <c r="A5" s="3"/>
      <c r="B5" s="11" t="s">
        <v>11</v>
      </c>
      <c r="C5" s="21">
        <v>7315</v>
      </c>
      <c r="D5" s="50">
        <f t="shared" si="0"/>
        <v>4.0580723185656115E-2</v>
      </c>
      <c r="E5" s="40">
        <v>17738</v>
      </c>
      <c r="F5" s="40">
        <v>19119</v>
      </c>
      <c r="G5" s="44">
        <f t="shared" si="1"/>
        <v>7.2231811287201242E-2</v>
      </c>
      <c r="H5" s="8">
        <f t="shared" si="2"/>
        <v>129753470</v>
      </c>
      <c r="I5" s="8">
        <f t="shared" ref="I5:I23" si="3">F5*C5</f>
        <v>139855485</v>
      </c>
    </row>
    <row r="6" spans="1:16" ht="50.1" customHeight="1" x14ac:dyDescent="0.3">
      <c r="A6" s="3"/>
      <c r="B6" s="11" t="s">
        <v>12</v>
      </c>
      <c r="C6" s="21">
        <v>9145</v>
      </c>
      <c r="D6" s="50">
        <f t="shared" si="0"/>
        <v>5.0732838487057438E-2</v>
      </c>
      <c r="E6" s="40">
        <v>19356</v>
      </c>
      <c r="F6" s="40">
        <v>20900</v>
      </c>
      <c r="G6" s="44">
        <f t="shared" si="1"/>
        <v>7.3875598086124428E-2</v>
      </c>
      <c r="H6" s="8">
        <f t="shared" si="2"/>
        <v>177010620</v>
      </c>
      <c r="I6" s="8">
        <f t="shared" si="3"/>
        <v>191130500</v>
      </c>
    </row>
    <row r="7" spans="1:16" ht="50.1" customHeight="1" x14ac:dyDescent="0.3">
      <c r="A7" s="3"/>
      <c r="B7" s="11" t="s">
        <v>13</v>
      </c>
      <c r="C7" s="21">
        <v>7938</v>
      </c>
      <c r="D7" s="50">
        <f t="shared" si="0"/>
        <v>4.4036880471324438E-2</v>
      </c>
      <c r="E7" s="40">
        <v>26263</v>
      </c>
      <c r="F7" s="40">
        <v>28450</v>
      </c>
      <c r="G7" s="44">
        <f t="shared" si="1"/>
        <v>7.6871704745166913E-2</v>
      </c>
      <c r="H7" s="8">
        <f t="shared" si="2"/>
        <v>208475694</v>
      </c>
      <c r="I7" s="8">
        <f t="shared" si="3"/>
        <v>225836100</v>
      </c>
    </row>
    <row r="8" spans="1:16" ht="50.1" customHeight="1" x14ac:dyDescent="0.3">
      <c r="A8" s="3"/>
      <c r="B8" s="11" t="s">
        <v>14</v>
      </c>
      <c r="C8" s="21">
        <v>10074</v>
      </c>
      <c r="D8" s="50">
        <f t="shared" si="0"/>
        <v>5.5886562593615817E-2</v>
      </c>
      <c r="E8" s="40">
        <v>27847</v>
      </c>
      <c r="F8" s="40">
        <v>30175</v>
      </c>
      <c r="G8" s="44">
        <f t="shared" si="1"/>
        <v>7.7149958574979305E-2</v>
      </c>
      <c r="H8" s="8">
        <f t="shared" si="2"/>
        <v>280530678</v>
      </c>
      <c r="I8" s="8">
        <f t="shared" si="3"/>
        <v>303982950</v>
      </c>
    </row>
    <row r="9" spans="1:16" ht="50.1" customHeight="1" x14ac:dyDescent="0.3">
      <c r="A9" s="3"/>
      <c r="B9" s="11" t="s">
        <v>15</v>
      </c>
      <c r="C9" s="21">
        <v>10571</v>
      </c>
      <c r="D9" s="50">
        <f t="shared" si="0"/>
        <v>5.8643721776564704E-2</v>
      </c>
      <c r="E9" s="40">
        <v>30025</v>
      </c>
      <c r="F9" s="40">
        <v>32350</v>
      </c>
      <c r="G9" s="44">
        <f t="shared" si="1"/>
        <v>7.1870170015455925E-2</v>
      </c>
      <c r="H9" s="8">
        <f t="shared" si="2"/>
        <v>317394275</v>
      </c>
      <c r="I9" s="8">
        <f t="shared" si="3"/>
        <v>341971850</v>
      </c>
    </row>
    <row r="10" spans="1:16" ht="50.1" customHeight="1" x14ac:dyDescent="0.3">
      <c r="A10" s="3"/>
      <c r="B10" s="11" t="s">
        <v>16</v>
      </c>
      <c r="C10" s="21">
        <v>9064</v>
      </c>
      <c r="D10" s="50">
        <f t="shared" si="0"/>
        <v>5.0283482563880662E-2</v>
      </c>
      <c r="E10" s="40">
        <v>35096</v>
      </c>
      <c r="F10" s="40">
        <v>38200</v>
      </c>
      <c r="G10" s="44">
        <f t="shared" si="1"/>
        <v>8.1256544502617767E-2</v>
      </c>
      <c r="H10" s="8">
        <f t="shared" si="2"/>
        <v>318110144</v>
      </c>
      <c r="I10" s="8">
        <f t="shared" si="3"/>
        <v>346244800</v>
      </c>
    </row>
    <row r="11" spans="1:16" ht="50.1" customHeight="1" x14ac:dyDescent="0.3">
      <c r="A11" s="3"/>
      <c r="B11" s="11" t="s">
        <v>17</v>
      </c>
      <c r="C11" s="21">
        <v>8130</v>
      </c>
      <c r="D11" s="50">
        <f t="shared" si="0"/>
        <v>4.5102020437373096E-2</v>
      </c>
      <c r="E11" s="40">
        <v>38762</v>
      </c>
      <c r="F11" s="40">
        <v>42500</v>
      </c>
      <c r="G11" s="44">
        <f t="shared" si="1"/>
        <v>8.7952941176470567E-2</v>
      </c>
      <c r="H11" s="8">
        <f t="shared" si="2"/>
        <v>315135060</v>
      </c>
      <c r="I11" s="8">
        <f t="shared" si="3"/>
        <v>345525000</v>
      </c>
    </row>
    <row r="12" spans="1:16" ht="50.1" customHeight="1" x14ac:dyDescent="0.3">
      <c r="A12" s="3"/>
      <c r="B12" s="11" t="s">
        <v>18</v>
      </c>
      <c r="C12" s="21">
        <v>10086</v>
      </c>
      <c r="D12" s="50">
        <f t="shared" si="0"/>
        <v>5.5953133841493856E-2</v>
      </c>
      <c r="E12" s="40">
        <v>37154</v>
      </c>
      <c r="F12" s="40">
        <v>40400</v>
      </c>
      <c r="G12" s="44">
        <f t="shared" si="1"/>
        <v>8.0346534653465307E-2</v>
      </c>
      <c r="H12" s="8">
        <f t="shared" si="2"/>
        <v>374735244</v>
      </c>
      <c r="I12" s="8">
        <f t="shared" si="3"/>
        <v>407474400</v>
      </c>
    </row>
    <row r="13" spans="1:16" ht="50.1" customHeight="1" x14ac:dyDescent="0.3">
      <c r="A13" s="3"/>
      <c r="B13" s="11" t="s">
        <v>19</v>
      </c>
      <c r="C13" s="21">
        <v>7649</v>
      </c>
      <c r="D13" s="50">
        <f t="shared" si="0"/>
        <v>4.2433622918261603E-2</v>
      </c>
      <c r="E13" s="40">
        <v>59967</v>
      </c>
      <c r="F13" s="40">
        <v>64900</v>
      </c>
      <c r="G13" s="44">
        <f t="shared" si="1"/>
        <v>7.6009244992295888E-2</v>
      </c>
      <c r="H13" s="8">
        <f t="shared" si="2"/>
        <v>458687583</v>
      </c>
      <c r="I13" s="8">
        <f t="shared" si="3"/>
        <v>496420100</v>
      </c>
    </row>
    <row r="14" spans="1:16" ht="50.1" customHeight="1" x14ac:dyDescent="0.3">
      <c r="A14" s="3"/>
      <c r="B14" s="11" t="s">
        <v>20</v>
      </c>
      <c r="C14" s="21">
        <v>10481</v>
      </c>
      <c r="D14" s="50">
        <f t="shared" si="0"/>
        <v>5.8144437417479392E-2</v>
      </c>
      <c r="E14" s="40">
        <v>57536</v>
      </c>
      <c r="F14" s="40">
        <v>62350</v>
      </c>
      <c r="G14" s="44">
        <f t="shared" si="1"/>
        <v>7.720930232558143E-2</v>
      </c>
      <c r="H14" s="8">
        <f t="shared" si="2"/>
        <v>603034816</v>
      </c>
      <c r="I14" s="8">
        <f t="shared" si="3"/>
        <v>653490350</v>
      </c>
    </row>
    <row r="15" spans="1:16" ht="50.1" customHeight="1" x14ac:dyDescent="0.3">
      <c r="A15" s="3"/>
      <c r="B15" s="11" t="s">
        <v>21</v>
      </c>
      <c r="C15" s="21">
        <v>0</v>
      </c>
      <c r="D15" s="50">
        <f t="shared" si="0"/>
        <v>0</v>
      </c>
      <c r="E15" s="40">
        <v>24853</v>
      </c>
      <c r="F15" s="40">
        <v>27200</v>
      </c>
      <c r="G15" s="44">
        <f t="shared" si="1"/>
        <v>8.6286764705882368E-2</v>
      </c>
      <c r="H15" s="8">
        <f t="shared" si="2"/>
        <v>0</v>
      </c>
      <c r="I15" s="8">
        <f t="shared" si="3"/>
        <v>0</v>
      </c>
    </row>
    <row r="16" spans="1:16" ht="50.1" customHeight="1" x14ac:dyDescent="0.3">
      <c r="A16" s="3"/>
      <c r="B16" s="11" t="s">
        <v>22</v>
      </c>
      <c r="C16" s="21">
        <v>11188</v>
      </c>
      <c r="D16" s="50">
        <f t="shared" si="0"/>
        <v>6.2066593438294002E-2</v>
      </c>
      <c r="E16" s="40">
        <v>26494</v>
      </c>
      <c r="F16" s="40">
        <v>28700</v>
      </c>
      <c r="G16" s="44">
        <f t="shared" si="1"/>
        <v>7.6864111498257892E-2</v>
      </c>
      <c r="H16" s="8">
        <f t="shared" si="2"/>
        <v>296414872</v>
      </c>
      <c r="I16" s="8">
        <f t="shared" si="3"/>
        <v>321095600</v>
      </c>
    </row>
    <row r="17" spans="1:9" ht="50.1" customHeight="1" x14ac:dyDescent="0.3">
      <c r="A17" s="3"/>
      <c r="B17" s="11" t="s">
        <v>23</v>
      </c>
      <c r="C17" s="21">
        <v>10454</v>
      </c>
      <c r="D17" s="50">
        <f t="shared" si="0"/>
        <v>5.7994652109753797E-2</v>
      </c>
      <c r="E17" s="40">
        <v>16391</v>
      </c>
      <c r="F17" s="40">
        <v>17950</v>
      </c>
      <c r="G17" s="44">
        <f t="shared" si="1"/>
        <v>8.6852367688022292E-2</v>
      </c>
      <c r="H17" s="8">
        <f t="shared" si="2"/>
        <v>171351514</v>
      </c>
      <c r="I17" s="8">
        <f t="shared" si="3"/>
        <v>187649300</v>
      </c>
    </row>
    <row r="18" spans="1:9" ht="50.1" customHeight="1" x14ac:dyDescent="0.3">
      <c r="A18" s="3"/>
      <c r="B18" s="11" t="s">
        <v>24</v>
      </c>
      <c r="C18" s="21">
        <v>6983</v>
      </c>
      <c r="D18" s="50">
        <f t="shared" si="0"/>
        <v>3.8738918661030304E-2</v>
      </c>
      <c r="E18" s="40">
        <v>13204</v>
      </c>
      <c r="F18" s="40">
        <v>14350</v>
      </c>
      <c r="G18" s="44">
        <f t="shared" si="1"/>
        <v>7.9860627177700372E-2</v>
      </c>
      <c r="H18" s="8">
        <f t="shared" si="2"/>
        <v>92203532</v>
      </c>
      <c r="I18" s="8">
        <f t="shared" si="3"/>
        <v>100206050</v>
      </c>
    </row>
    <row r="19" spans="1:9" ht="50.1" customHeight="1" x14ac:dyDescent="0.3">
      <c r="A19" s="3"/>
      <c r="B19" s="11" t="s">
        <v>25</v>
      </c>
      <c r="C19" s="21">
        <v>10348</v>
      </c>
      <c r="D19" s="50">
        <f t="shared" si="0"/>
        <v>5.7406606086831097E-2</v>
      </c>
      <c r="E19" s="40">
        <v>22102</v>
      </c>
      <c r="F19" s="40">
        <v>24074.33</v>
      </c>
      <c r="G19" s="44">
        <f t="shared" si="1"/>
        <v>8.1926682902494163E-2</v>
      </c>
      <c r="H19" s="8">
        <f t="shared" si="2"/>
        <v>228711496</v>
      </c>
      <c r="I19" s="8">
        <f t="shared" si="3"/>
        <v>249121166.84</v>
      </c>
    </row>
    <row r="20" spans="1:9" ht="50.1" customHeight="1" x14ac:dyDescent="0.3">
      <c r="A20" s="3"/>
      <c r="B20" s="11" t="s">
        <v>26</v>
      </c>
      <c r="C20" s="21">
        <v>7508</v>
      </c>
      <c r="D20" s="50">
        <f t="shared" si="0"/>
        <v>4.1651410755694618E-2</v>
      </c>
      <c r="E20" s="40">
        <v>33778</v>
      </c>
      <c r="F20" s="40">
        <v>36519.22</v>
      </c>
      <c r="G20" s="44">
        <f t="shared" si="1"/>
        <v>7.50623918035489E-2</v>
      </c>
      <c r="H20" s="8">
        <f t="shared" si="2"/>
        <v>253605224</v>
      </c>
      <c r="I20" s="8">
        <f t="shared" si="3"/>
        <v>274186303.75999999</v>
      </c>
    </row>
    <row r="21" spans="1:9" ht="50.1" customHeight="1" x14ac:dyDescent="0.3">
      <c r="A21" s="3"/>
      <c r="B21" s="11" t="s">
        <v>27</v>
      </c>
      <c r="C21" s="21">
        <v>7667</v>
      </c>
      <c r="D21" s="50">
        <f t="shared" si="0"/>
        <v>4.2533479790078668E-2</v>
      </c>
      <c r="E21" s="40">
        <v>37356</v>
      </c>
      <c r="F21" s="40">
        <v>40950</v>
      </c>
      <c r="G21" s="44">
        <f t="shared" si="1"/>
        <v>8.7765567765567765E-2</v>
      </c>
      <c r="H21" s="8">
        <f t="shared" si="2"/>
        <v>286408452</v>
      </c>
      <c r="I21" s="8">
        <f t="shared" si="3"/>
        <v>313963650</v>
      </c>
    </row>
    <row r="22" spans="1:9" ht="50.1" customHeight="1" x14ac:dyDescent="0.3">
      <c r="A22" s="3"/>
      <c r="B22" s="11" t="s">
        <v>28</v>
      </c>
      <c r="C22" s="21">
        <v>6572</v>
      </c>
      <c r="D22" s="50">
        <f t="shared" si="0"/>
        <v>3.6458853421207381E-2</v>
      </c>
      <c r="E22" s="40">
        <v>39461</v>
      </c>
      <c r="F22" s="40">
        <v>42600</v>
      </c>
      <c r="G22" s="44">
        <f t="shared" si="1"/>
        <v>7.3685446009389644E-2</v>
      </c>
      <c r="H22" s="8">
        <f t="shared" si="2"/>
        <v>259337692</v>
      </c>
      <c r="I22" s="8">
        <f t="shared" si="3"/>
        <v>279967200</v>
      </c>
    </row>
    <row r="23" spans="1:9" ht="50.1" customHeight="1" x14ac:dyDescent="0.3">
      <c r="A23" s="3"/>
      <c r="B23" s="11" t="s">
        <v>29</v>
      </c>
      <c r="C23" s="21">
        <v>10839</v>
      </c>
      <c r="D23" s="50">
        <f t="shared" si="0"/>
        <v>6.0130479645840965E-2</v>
      </c>
      <c r="E23" s="40">
        <v>28206</v>
      </c>
      <c r="F23" s="40">
        <v>30900</v>
      </c>
      <c r="G23" s="44">
        <f t="shared" si="1"/>
        <v>8.7184466019417428E-2</v>
      </c>
      <c r="H23" s="8">
        <f t="shared" si="2"/>
        <v>305724834</v>
      </c>
      <c r="I23" s="8">
        <f t="shared" si="3"/>
        <v>334925100</v>
      </c>
    </row>
    <row r="24" spans="1:9" x14ac:dyDescent="0.3">
      <c r="A24" s="3"/>
      <c r="B24" s="12"/>
      <c r="C24" s="20"/>
      <c r="D24" s="51"/>
      <c r="E24" s="9"/>
      <c r="F24" s="9"/>
      <c r="G24" s="45"/>
      <c r="H24" s="6"/>
      <c r="I24" s="6"/>
    </row>
    <row r="25" spans="1:9" x14ac:dyDescent="0.3">
      <c r="A25" s="3"/>
      <c r="B25" s="11" t="s">
        <v>46</v>
      </c>
      <c r="C25" s="8">
        <f>SUM(C3:C23)</f>
        <v>180258</v>
      </c>
      <c r="D25" s="48"/>
      <c r="E25" s="7"/>
      <c r="F25" s="7"/>
      <c r="G25" s="42"/>
      <c r="H25" s="5">
        <f>SUM(H3:H23)</f>
        <v>5612257816</v>
      </c>
      <c r="I25" s="5">
        <f>SUM(I3:I23)</f>
        <v>6094285805.6000004</v>
      </c>
    </row>
    <row r="26" spans="1:9" x14ac:dyDescent="0.3">
      <c r="A26" s="3"/>
      <c r="B26" s="38" t="s">
        <v>30</v>
      </c>
      <c r="C26" s="8">
        <f>AVERAGE(C3:C23)</f>
        <v>8583.7142857142862</v>
      </c>
      <c r="D26" s="48"/>
      <c r="E26" s="5">
        <f>AVERAGE(E3:E23)</f>
        <v>30960.238095238095</v>
      </c>
      <c r="F26" s="5">
        <f>AVERAGE(F3:F23)</f>
        <v>33627.978571428568</v>
      </c>
      <c r="G26" s="42"/>
      <c r="H26" s="5">
        <f>AVERAGE(H3:H23)</f>
        <v>267250372.19047618</v>
      </c>
      <c r="I26" s="5">
        <f>AVERAGE(I3:I23)</f>
        <v>290204085.98095238</v>
      </c>
    </row>
    <row r="27" spans="1:9" x14ac:dyDescent="0.3">
      <c r="A27" s="3"/>
      <c r="B27" s="11" t="s">
        <v>31</v>
      </c>
      <c r="C27" s="8">
        <f>MAX(C3:C23)</f>
        <v>11188</v>
      </c>
      <c r="D27" s="48"/>
      <c r="E27" s="7"/>
      <c r="F27" s="7"/>
      <c r="G27" s="42"/>
      <c r="H27" s="7"/>
      <c r="I27" s="7"/>
    </row>
    <row r="28" spans="1:9" x14ac:dyDescent="0.3">
      <c r="A28" s="3"/>
      <c r="B28" s="11" t="s">
        <v>32</v>
      </c>
      <c r="C28" s="8">
        <f>MIN(C3:C23)</f>
        <v>0</v>
      </c>
      <c r="D28" s="48"/>
      <c r="E28" s="7"/>
      <c r="F28" s="7"/>
      <c r="G28" s="42"/>
      <c r="H28" s="7"/>
      <c r="I28" s="7"/>
    </row>
    <row r="29" spans="1:9" x14ac:dyDescent="0.3">
      <c r="A29" s="3"/>
      <c r="B29" s="11"/>
      <c r="C29" s="21"/>
      <c r="D29" s="48"/>
      <c r="E29" s="7"/>
      <c r="F29" s="7"/>
      <c r="G29" s="42"/>
      <c r="H29" s="7"/>
      <c r="I29" s="7"/>
    </row>
    <row r="30" spans="1:9" ht="30.6" customHeight="1" x14ac:dyDescent="0.3">
      <c r="A30" s="3"/>
      <c r="B30" s="54" t="s">
        <v>33</v>
      </c>
      <c r="C30" s="54"/>
      <c r="D30" s="54"/>
      <c r="E30" s="54"/>
      <c r="F30" s="54"/>
      <c r="G30" s="53">
        <f>COUNTA(B3:B23)</f>
        <v>21</v>
      </c>
      <c r="H30" s="7"/>
      <c r="I30" s="7"/>
    </row>
    <row r="32" spans="1:9" x14ac:dyDescent="0.3">
      <c r="B32" s="13">
        <v>45286</v>
      </c>
    </row>
    <row r="33" spans="2:2" x14ac:dyDescent="0.3">
      <c r="B33" s="13"/>
    </row>
    <row r="37" spans="2:2" x14ac:dyDescent="0.3">
      <c r="B37" s="13" t="str">
        <f>Semester</f>
        <v>2024 Spring</v>
      </c>
    </row>
  </sheetData>
  <mergeCells count="1">
    <mergeCell ref="B30:F30"/>
  </mergeCells>
  <pageMargins left="0.75" right="0.75" top="1" bottom="1" header="0.5" footer="0.5"/>
  <pageSetup orientation="portrait" horizontalDpi="4294967295" verticalDpi="4294967295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34897-8C38-4FF5-BEB1-904F71391CA6}">
  <sheetPr>
    <tabColor rgb="FF00B050"/>
  </sheetPr>
  <dimension ref="A1:P37"/>
  <sheetViews>
    <sheetView topLeftCell="A21" zoomScale="70" zoomScaleNormal="30" workbookViewId="0">
      <selection activeCell="C18" sqref="C18"/>
    </sheetView>
  </sheetViews>
  <sheetFormatPr defaultColWidth="8.88671875" defaultRowHeight="14.4" x14ac:dyDescent="0.3"/>
  <cols>
    <col min="1" max="1" width="39.44140625" style="1" bestFit="1" customWidth="1"/>
    <col min="2" max="2" width="12.33203125" style="10" bestFit="1" customWidth="1"/>
    <col min="3" max="3" width="12" style="19" bestFit="1" customWidth="1"/>
    <col min="4" max="4" width="7" style="52" bestFit="1" customWidth="1"/>
    <col min="5" max="5" width="11" style="4" bestFit="1" customWidth="1"/>
    <col min="6" max="6" width="11.44140625" style="4" bestFit="1" customWidth="1"/>
    <col min="7" max="7" width="13.5546875" style="46" bestFit="1" customWidth="1"/>
    <col min="8" max="8" width="16.33203125" style="4" bestFit="1" customWidth="1"/>
    <col min="9" max="9" width="19.88671875" style="4" customWidth="1"/>
    <col min="12" max="16384" width="8.88671875" style="1"/>
  </cols>
  <sheetData>
    <row r="1" spans="1:16" x14ac:dyDescent="0.3">
      <c r="A1" s="3" t="s">
        <v>48</v>
      </c>
      <c r="B1" s="11"/>
      <c r="C1" s="21"/>
      <c r="D1" s="48"/>
      <c r="E1" s="7"/>
      <c r="F1" s="7"/>
      <c r="G1" s="42"/>
      <c r="H1" s="7"/>
      <c r="I1" s="7"/>
    </row>
    <row r="2" spans="1:16" s="2" customFormat="1" ht="40.200000000000003" x14ac:dyDescent="0.3">
      <c r="A2" s="28"/>
      <c r="B2" s="11" t="s">
        <v>1</v>
      </c>
      <c r="C2" s="36" t="s">
        <v>2</v>
      </c>
      <c r="D2" s="49" t="s">
        <v>3</v>
      </c>
      <c r="E2" s="37" t="s">
        <v>4</v>
      </c>
      <c r="F2" s="37" t="s">
        <v>5</v>
      </c>
      <c r="G2" s="43" t="s">
        <v>6</v>
      </c>
      <c r="H2" s="37" t="s">
        <v>7</v>
      </c>
      <c r="I2" s="37" t="s">
        <v>8</v>
      </c>
      <c r="J2" s="22"/>
      <c r="K2" s="22"/>
    </row>
    <row r="3" spans="1:16" ht="50.1" customHeight="1" x14ac:dyDescent="0.3">
      <c r="A3" s="3"/>
      <c r="B3" s="38" t="s">
        <v>9</v>
      </c>
      <c r="C3" s="21">
        <v>7174</v>
      </c>
      <c r="D3" s="50">
        <f>C3/C$25</f>
        <v>4.0071272572906366E-2</v>
      </c>
      <c r="E3" s="39">
        <v>28860</v>
      </c>
      <c r="F3" s="39">
        <v>31450</v>
      </c>
      <c r="G3" s="44">
        <f>1-E3/F3</f>
        <v>8.2352941176470629E-2</v>
      </c>
      <c r="H3" s="5">
        <f>E3*C3</f>
        <v>207041640</v>
      </c>
      <c r="I3" s="5">
        <f>F3*C3</f>
        <v>225622300</v>
      </c>
      <c r="N3"/>
      <c r="O3"/>
      <c r="P3"/>
    </row>
    <row r="4" spans="1:16" ht="50.1" customHeight="1" x14ac:dyDescent="0.3">
      <c r="A4" s="3"/>
      <c r="B4" s="11" t="s">
        <v>10</v>
      </c>
      <c r="C4" s="21">
        <v>10407</v>
      </c>
      <c r="D4" s="50">
        <f t="shared" ref="D4:D23" si="0">C4/C$25</f>
        <v>5.8129597667443071E-2</v>
      </c>
      <c r="E4" s="40">
        <v>29716</v>
      </c>
      <c r="F4" s="40">
        <v>32150</v>
      </c>
      <c r="G4" s="44">
        <f t="shared" ref="G4:G23" si="1">1-E4/F4</f>
        <v>7.5707620528771336E-2</v>
      </c>
      <c r="H4" s="8">
        <f t="shared" ref="H4:H23" si="2">E4*C4</f>
        <v>309254412</v>
      </c>
      <c r="I4" s="8">
        <f>F4*C4</f>
        <v>334585050</v>
      </c>
      <c r="N4"/>
      <c r="O4"/>
      <c r="P4"/>
    </row>
    <row r="5" spans="1:16" ht="50.1" customHeight="1" x14ac:dyDescent="0.3">
      <c r="A5" s="3"/>
      <c r="B5" s="11" t="s">
        <v>11</v>
      </c>
      <c r="C5" s="21">
        <v>8882</v>
      </c>
      <c r="D5" s="50">
        <f t="shared" si="0"/>
        <v>4.9611519792661603E-2</v>
      </c>
      <c r="E5" s="40">
        <v>17738</v>
      </c>
      <c r="F5" s="40">
        <v>19119</v>
      </c>
      <c r="G5" s="44">
        <f t="shared" si="1"/>
        <v>7.2231811287201242E-2</v>
      </c>
      <c r="H5" s="8">
        <f t="shared" si="2"/>
        <v>157548916</v>
      </c>
      <c r="I5" s="8">
        <f t="shared" ref="I5:I23" si="3">F5*C5</f>
        <v>169814958</v>
      </c>
    </row>
    <row r="6" spans="1:16" ht="50.1" customHeight="1" x14ac:dyDescent="0.3">
      <c r="A6" s="3"/>
      <c r="B6" s="11" t="s">
        <v>12</v>
      </c>
      <c r="C6" s="21">
        <v>9167</v>
      </c>
      <c r="D6" s="50">
        <f t="shared" si="0"/>
        <v>5.1203422870899455E-2</v>
      </c>
      <c r="E6" s="40">
        <v>19356</v>
      </c>
      <c r="F6" s="40">
        <v>20900</v>
      </c>
      <c r="G6" s="44">
        <f t="shared" si="1"/>
        <v>7.3875598086124428E-2</v>
      </c>
      <c r="H6" s="8">
        <f t="shared" si="2"/>
        <v>177436452</v>
      </c>
      <c r="I6" s="8">
        <f t="shared" si="3"/>
        <v>191590300</v>
      </c>
    </row>
    <row r="7" spans="1:16" ht="50.1" customHeight="1" x14ac:dyDescent="0.3">
      <c r="A7" s="3"/>
      <c r="B7" s="11" t="s">
        <v>13</v>
      </c>
      <c r="C7" s="21">
        <v>9427</v>
      </c>
      <c r="D7" s="50">
        <f t="shared" si="0"/>
        <v>5.2655685328239242E-2</v>
      </c>
      <c r="E7" s="40">
        <v>26263</v>
      </c>
      <c r="F7" s="40">
        <v>28450</v>
      </c>
      <c r="G7" s="44">
        <f t="shared" si="1"/>
        <v>7.6871704745166913E-2</v>
      </c>
      <c r="H7" s="8">
        <f t="shared" si="2"/>
        <v>247581301</v>
      </c>
      <c r="I7" s="8">
        <f t="shared" si="3"/>
        <v>268198150</v>
      </c>
    </row>
    <row r="8" spans="1:16" ht="50.1" customHeight="1" x14ac:dyDescent="0.3">
      <c r="A8" s="3"/>
      <c r="B8" s="11" t="s">
        <v>14</v>
      </c>
      <c r="C8" s="21">
        <v>9134</v>
      </c>
      <c r="D8" s="50">
        <f t="shared" si="0"/>
        <v>5.1019097251314018E-2</v>
      </c>
      <c r="E8" s="40">
        <v>27847</v>
      </c>
      <c r="F8" s="40">
        <v>30175</v>
      </c>
      <c r="G8" s="44">
        <f t="shared" si="1"/>
        <v>7.7149958574979305E-2</v>
      </c>
      <c r="H8" s="8">
        <f t="shared" si="2"/>
        <v>254354498</v>
      </c>
      <c r="I8" s="8">
        <f t="shared" si="3"/>
        <v>275618450</v>
      </c>
    </row>
    <row r="9" spans="1:16" ht="50.1" customHeight="1" x14ac:dyDescent="0.3">
      <c r="A9" s="3"/>
      <c r="B9" s="11" t="s">
        <v>15</v>
      </c>
      <c r="C9" s="21">
        <v>10254</v>
      </c>
      <c r="D9" s="50">
        <f t="shared" si="0"/>
        <v>5.7274997067546962E-2</v>
      </c>
      <c r="E9" s="40">
        <v>30025</v>
      </c>
      <c r="F9" s="40">
        <v>32350</v>
      </c>
      <c r="G9" s="44">
        <f t="shared" si="1"/>
        <v>7.1870170015455925E-2</v>
      </c>
      <c r="H9" s="8">
        <f t="shared" si="2"/>
        <v>307876350</v>
      </c>
      <c r="I9" s="8">
        <f t="shared" si="3"/>
        <v>331716900</v>
      </c>
    </row>
    <row r="10" spans="1:16" ht="50.1" customHeight="1" x14ac:dyDescent="0.3">
      <c r="A10" s="3"/>
      <c r="B10" s="11" t="s">
        <v>16</v>
      </c>
      <c r="C10" s="21">
        <v>10944</v>
      </c>
      <c r="D10" s="50">
        <f t="shared" si="0"/>
        <v>6.1129078204333324E-2</v>
      </c>
      <c r="E10" s="40">
        <v>35096</v>
      </c>
      <c r="F10" s="40">
        <v>38200</v>
      </c>
      <c r="G10" s="44">
        <f t="shared" si="1"/>
        <v>8.1256544502617767E-2</v>
      </c>
      <c r="H10" s="8">
        <f t="shared" si="2"/>
        <v>384090624</v>
      </c>
      <c r="I10" s="8">
        <f t="shared" si="3"/>
        <v>418060800</v>
      </c>
    </row>
    <row r="11" spans="1:16" ht="50.1" customHeight="1" x14ac:dyDescent="0.3">
      <c r="A11" s="3"/>
      <c r="B11" s="11" t="s">
        <v>17</v>
      </c>
      <c r="C11" s="21">
        <v>10760</v>
      </c>
      <c r="D11" s="50">
        <f t="shared" si="0"/>
        <v>6.0101323234523628E-2</v>
      </c>
      <c r="E11" s="40">
        <v>38762</v>
      </c>
      <c r="F11" s="40">
        <v>42500</v>
      </c>
      <c r="G11" s="44">
        <f t="shared" si="1"/>
        <v>8.7952941176470567E-2</v>
      </c>
      <c r="H11" s="8">
        <f t="shared" si="2"/>
        <v>417079120</v>
      </c>
      <c r="I11" s="8">
        <f t="shared" si="3"/>
        <v>457300000</v>
      </c>
    </row>
    <row r="12" spans="1:16" ht="50.1" customHeight="1" x14ac:dyDescent="0.3">
      <c r="A12" s="3"/>
      <c r="B12" s="11" t="s">
        <v>18</v>
      </c>
      <c r="C12" s="21">
        <v>8375</v>
      </c>
      <c r="D12" s="50">
        <f t="shared" si="0"/>
        <v>4.6779608000849016E-2</v>
      </c>
      <c r="E12" s="40">
        <v>37154</v>
      </c>
      <c r="F12" s="40">
        <v>40400</v>
      </c>
      <c r="G12" s="44">
        <f t="shared" si="1"/>
        <v>8.0346534653465307E-2</v>
      </c>
      <c r="H12" s="8">
        <f t="shared" si="2"/>
        <v>311164750</v>
      </c>
      <c r="I12" s="8">
        <f t="shared" si="3"/>
        <v>338350000</v>
      </c>
    </row>
    <row r="13" spans="1:16" ht="50.1" customHeight="1" x14ac:dyDescent="0.3">
      <c r="A13" s="3"/>
      <c r="B13" s="11" t="s">
        <v>19</v>
      </c>
      <c r="C13" s="21">
        <v>7740</v>
      </c>
      <c r="D13" s="50">
        <f t="shared" si="0"/>
        <v>4.3232736230038371E-2</v>
      </c>
      <c r="E13" s="40">
        <v>59967</v>
      </c>
      <c r="F13" s="40">
        <v>64900</v>
      </c>
      <c r="G13" s="44">
        <f t="shared" si="1"/>
        <v>7.6009244992295888E-2</v>
      </c>
      <c r="H13" s="8">
        <f t="shared" si="2"/>
        <v>464144580</v>
      </c>
      <c r="I13" s="8">
        <f t="shared" si="3"/>
        <v>502326000</v>
      </c>
    </row>
    <row r="14" spans="1:16" ht="50.1" customHeight="1" x14ac:dyDescent="0.3">
      <c r="A14" s="3"/>
      <c r="B14" s="11" t="s">
        <v>20</v>
      </c>
      <c r="C14" s="21">
        <v>9108</v>
      </c>
      <c r="D14" s="50">
        <f t="shared" si="0"/>
        <v>5.0873871005580037E-2</v>
      </c>
      <c r="E14" s="40">
        <v>57536</v>
      </c>
      <c r="F14" s="40">
        <v>62350</v>
      </c>
      <c r="G14" s="44">
        <f t="shared" si="1"/>
        <v>7.720930232558143E-2</v>
      </c>
      <c r="H14" s="8">
        <f t="shared" si="2"/>
        <v>524037888</v>
      </c>
      <c r="I14" s="8">
        <f t="shared" si="3"/>
        <v>567883800</v>
      </c>
    </row>
    <row r="15" spans="1:16" ht="50.1" customHeight="1" x14ac:dyDescent="0.3">
      <c r="A15" s="3"/>
      <c r="B15" s="11" t="s">
        <v>21</v>
      </c>
      <c r="C15" s="21">
        <v>7283</v>
      </c>
      <c r="D15" s="50">
        <f t="shared" si="0"/>
        <v>4.0680105680021894E-2</v>
      </c>
      <c r="E15" s="40">
        <v>24853</v>
      </c>
      <c r="F15" s="40">
        <v>27200</v>
      </c>
      <c r="G15" s="44">
        <f t="shared" si="1"/>
        <v>8.6286764705882368E-2</v>
      </c>
      <c r="H15" s="8">
        <f t="shared" si="2"/>
        <v>181004399</v>
      </c>
      <c r="I15" s="8">
        <f t="shared" si="3"/>
        <v>198097600</v>
      </c>
    </row>
    <row r="16" spans="1:16" ht="50.1" customHeight="1" x14ac:dyDescent="0.3">
      <c r="A16" s="3"/>
      <c r="B16" s="11" t="s">
        <v>22</v>
      </c>
      <c r="C16" s="21">
        <v>8436</v>
      </c>
      <c r="D16" s="50">
        <f t="shared" si="0"/>
        <v>4.7120331115840276E-2</v>
      </c>
      <c r="E16" s="40">
        <v>26494</v>
      </c>
      <c r="F16" s="40">
        <v>28700</v>
      </c>
      <c r="G16" s="44">
        <f t="shared" si="1"/>
        <v>7.6864111498257892E-2</v>
      </c>
      <c r="H16" s="8">
        <f t="shared" si="2"/>
        <v>223503384</v>
      </c>
      <c r="I16" s="8">
        <f t="shared" si="3"/>
        <v>242113200</v>
      </c>
    </row>
    <row r="17" spans="1:9" ht="50.1" customHeight="1" x14ac:dyDescent="0.3">
      <c r="A17" s="3"/>
      <c r="B17" s="11" t="s">
        <v>23</v>
      </c>
      <c r="C17" s="21">
        <v>0</v>
      </c>
      <c r="D17" s="50">
        <f t="shared" si="0"/>
        <v>0</v>
      </c>
      <c r="E17" s="40">
        <v>16391</v>
      </c>
      <c r="F17" s="40">
        <v>17950</v>
      </c>
      <c r="G17" s="44">
        <f t="shared" si="1"/>
        <v>8.6852367688022292E-2</v>
      </c>
      <c r="H17" s="8">
        <f t="shared" si="2"/>
        <v>0</v>
      </c>
      <c r="I17" s="8">
        <f t="shared" si="3"/>
        <v>0</v>
      </c>
    </row>
    <row r="18" spans="1:9" ht="50.1" customHeight="1" x14ac:dyDescent="0.3">
      <c r="A18" s="3"/>
      <c r="B18" s="11" t="s">
        <v>24</v>
      </c>
      <c r="C18" s="21">
        <v>10278</v>
      </c>
      <c r="D18" s="50">
        <f t="shared" si="0"/>
        <v>5.7409052063609092E-2</v>
      </c>
      <c r="E18" s="40">
        <v>13204</v>
      </c>
      <c r="F18" s="40">
        <v>14350</v>
      </c>
      <c r="G18" s="44">
        <f t="shared" si="1"/>
        <v>7.9860627177700372E-2</v>
      </c>
      <c r="H18" s="8">
        <f t="shared" si="2"/>
        <v>135710712</v>
      </c>
      <c r="I18" s="8">
        <f t="shared" si="3"/>
        <v>147489300</v>
      </c>
    </row>
    <row r="19" spans="1:9" ht="50.1" customHeight="1" x14ac:dyDescent="0.3">
      <c r="A19" s="3"/>
      <c r="B19" s="11" t="s">
        <v>25</v>
      </c>
      <c r="C19" s="21">
        <v>9317</v>
      </c>
      <c r="D19" s="50">
        <f t="shared" si="0"/>
        <v>5.2041266596287793E-2</v>
      </c>
      <c r="E19" s="40">
        <v>22102</v>
      </c>
      <c r="F19" s="40">
        <v>24074.33</v>
      </c>
      <c r="G19" s="44">
        <f t="shared" si="1"/>
        <v>8.1926682902494163E-2</v>
      </c>
      <c r="H19" s="8">
        <f t="shared" si="2"/>
        <v>205924334</v>
      </c>
      <c r="I19" s="8">
        <f t="shared" si="3"/>
        <v>224300532.61000001</v>
      </c>
    </row>
    <row r="20" spans="1:9" ht="50.1" customHeight="1" x14ac:dyDescent="0.3">
      <c r="A20" s="3"/>
      <c r="B20" s="11" t="s">
        <v>26</v>
      </c>
      <c r="C20" s="21">
        <v>7753</v>
      </c>
      <c r="D20" s="50">
        <f t="shared" si="0"/>
        <v>4.3305349352905365E-2</v>
      </c>
      <c r="E20" s="40">
        <v>33778</v>
      </c>
      <c r="F20" s="40">
        <v>36519.22</v>
      </c>
      <c r="G20" s="44">
        <f t="shared" si="1"/>
        <v>7.50623918035489E-2</v>
      </c>
      <c r="H20" s="8">
        <f t="shared" si="2"/>
        <v>261880834</v>
      </c>
      <c r="I20" s="8">
        <f t="shared" si="3"/>
        <v>283133512.66000003</v>
      </c>
    </row>
    <row r="21" spans="1:9" ht="50.1" customHeight="1" x14ac:dyDescent="0.3">
      <c r="A21" s="3"/>
      <c r="B21" s="11" t="s">
        <v>27</v>
      </c>
      <c r="C21" s="21">
        <v>9297</v>
      </c>
      <c r="D21" s="50">
        <f t="shared" si="0"/>
        <v>5.1929554099569349E-2</v>
      </c>
      <c r="E21" s="40">
        <v>37356</v>
      </c>
      <c r="F21" s="40">
        <v>40950</v>
      </c>
      <c r="G21" s="44">
        <f t="shared" si="1"/>
        <v>8.7765567765567765E-2</v>
      </c>
      <c r="H21" s="8">
        <f t="shared" si="2"/>
        <v>347298732</v>
      </c>
      <c r="I21" s="8">
        <f t="shared" si="3"/>
        <v>380712150</v>
      </c>
    </row>
    <row r="22" spans="1:9" ht="50.1" customHeight="1" x14ac:dyDescent="0.3">
      <c r="A22" s="3"/>
      <c r="B22" s="11" t="s">
        <v>28</v>
      </c>
      <c r="C22" s="21">
        <v>7801</v>
      </c>
      <c r="D22" s="50">
        <f t="shared" si="0"/>
        <v>4.3573459345029632E-2</v>
      </c>
      <c r="E22" s="40">
        <v>39461</v>
      </c>
      <c r="F22" s="40">
        <v>42600</v>
      </c>
      <c r="G22" s="44">
        <f t="shared" si="1"/>
        <v>7.3685446009389644E-2</v>
      </c>
      <c r="H22" s="8">
        <f t="shared" si="2"/>
        <v>307835261</v>
      </c>
      <c r="I22" s="8">
        <f t="shared" si="3"/>
        <v>332322600</v>
      </c>
    </row>
    <row r="23" spans="1:9" ht="50.1" customHeight="1" x14ac:dyDescent="0.3">
      <c r="A23" s="3"/>
      <c r="B23" s="11" t="s">
        <v>29</v>
      </c>
      <c r="C23" s="21">
        <v>7494</v>
      </c>
      <c r="D23" s="50">
        <f t="shared" si="0"/>
        <v>4.1858672520401492E-2</v>
      </c>
      <c r="E23" s="40">
        <v>28206</v>
      </c>
      <c r="F23" s="40">
        <v>30900</v>
      </c>
      <c r="G23" s="44">
        <f t="shared" si="1"/>
        <v>8.7184466019417428E-2</v>
      </c>
      <c r="H23" s="8">
        <f t="shared" si="2"/>
        <v>211375764</v>
      </c>
      <c r="I23" s="8">
        <f t="shared" si="3"/>
        <v>231564600</v>
      </c>
    </row>
    <row r="24" spans="1:9" x14ac:dyDescent="0.3">
      <c r="A24" s="3"/>
      <c r="B24" s="12"/>
      <c r="C24" s="20"/>
      <c r="D24" s="51"/>
      <c r="E24" s="9"/>
      <c r="F24" s="9"/>
      <c r="G24" s="45"/>
      <c r="H24" s="6"/>
      <c r="I24" s="6"/>
    </row>
    <row r="25" spans="1:9" x14ac:dyDescent="0.3">
      <c r="A25" s="3"/>
      <c r="B25" s="11" t="s">
        <v>46</v>
      </c>
      <c r="C25" s="8">
        <f>SUM(C3:C23)</f>
        <v>179031</v>
      </c>
      <c r="D25" s="48"/>
      <c r="E25" s="7"/>
      <c r="F25" s="7"/>
      <c r="G25" s="42"/>
      <c r="H25" s="5">
        <f>SUM(H3:H23)</f>
        <v>5636143951</v>
      </c>
      <c r="I25" s="5">
        <f>SUM(I3:I23)</f>
        <v>6120800203.2699995</v>
      </c>
    </row>
    <row r="26" spans="1:9" x14ac:dyDescent="0.3">
      <c r="A26" s="3"/>
      <c r="B26" s="38" t="s">
        <v>30</v>
      </c>
      <c r="C26" s="8">
        <f>AVERAGE(C3:C23)</f>
        <v>8525.2857142857138</v>
      </c>
      <c r="D26" s="48"/>
      <c r="E26" s="5">
        <f>AVERAGE(E3:E23)</f>
        <v>30960.238095238095</v>
      </c>
      <c r="F26" s="5">
        <f>AVERAGE(F3:F23)</f>
        <v>33627.978571428568</v>
      </c>
      <c r="G26" s="42"/>
      <c r="H26" s="5">
        <f>AVERAGE(H3:H23)</f>
        <v>268387807.19047618</v>
      </c>
      <c r="I26" s="5">
        <f>AVERAGE(I3:I23)</f>
        <v>291466676.34619045</v>
      </c>
    </row>
    <row r="27" spans="1:9" x14ac:dyDescent="0.3">
      <c r="A27" s="3"/>
      <c r="B27" s="11" t="s">
        <v>31</v>
      </c>
      <c r="C27" s="8">
        <f>MAX(C3:C23)</f>
        <v>10944</v>
      </c>
      <c r="D27" s="48"/>
      <c r="E27" s="7"/>
      <c r="F27" s="7"/>
      <c r="G27" s="42"/>
      <c r="H27" s="7"/>
      <c r="I27" s="7"/>
    </row>
    <row r="28" spans="1:9" x14ac:dyDescent="0.3">
      <c r="A28" s="3"/>
      <c r="B28" s="11" t="s">
        <v>32</v>
      </c>
      <c r="C28" s="8">
        <f>MIN(C3:C23)</f>
        <v>0</v>
      </c>
      <c r="D28" s="48"/>
      <c r="E28" s="7"/>
      <c r="F28" s="7"/>
      <c r="G28" s="42"/>
      <c r="H28" s="7"/>
      <c r="I28" s="7"/>
    </row>
    <row r="29" spans="1:9" x14ac:dyDescent="0.3">
      <c r="A29" s="3"/>
      <c r="B29" s="11"/>
      <c r="C29" s="21"/>
      <c r="D29" s="48"/>
      <c r="E29" s="7"/>
      <c r="F29" s="7"/>
      <c r="G29" s="42"/>
      <c r="H29" s="7"/>
      <c r="I29" s="7"/>
    </row>
    <row r="30" spans="1:9" ht="30.6" customHeight="1" x14ac:dyDescent="0.3">
      <c r="A30" s="3"/>
      <c r="B30" s="54" t="s">
        <v>33</v>
      </c>
      <c r="C30" s="54"/>
      <c r="D30" s="54"/>
      <c r="E30" s="54"/>
      <c r="F30" s="54"/>
      <c r="G30" s="53">
        <f>COUNTA(B3:B23)</f>
        <v>21</v>
      </c>
      <c r="H30" s="7"/>
      <c r="I30" s="7"/>
    </row>
    <row r="32" spans="1:9" x14ac:dyDescent="0.3">
      <c r="B32" s="13">
        <v>45286</v>
      </c>
    </row>
    <row r="33" spans="2:2" x14ac:dyDescent="0.3">
      <c r="B33" s="13"/>
    </row>
    <row r="37" spans="2:2" x14ac:dyDescent="0.3">
      <c r="B37" s="13" t="str">
        <f>Semester</f>
        <v>2024 Spring</v>
      </c>
    </row>
  </sheetData>
  <mergeCells count="1">
    <mergeCell ref="B30:F30"/>
  </mergeCells>
  <pageMargins left="0.75" right="0.75" top="1" bottom="1" header="0.5" footer="0.5"/>
  <pageSetup orientation="portrait" horizontalDpi="4294967295" verticalDpi="4294967295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6CB65-0777-4FC5-992A-FB803FD516DA}">
  <sheetPr>
    <tabColor rgb="FF0070C0"/>
  </sheetPr>
  <dimension ref="A1:P37"/>
  <sheetViews>
    <sheetView topLeftCell="A22" zoomScale="78" zoomScaleNormal="30" workbookViewId="0">
      <selection activeCell="L7" sqref="L7"/>
    </sheetView>
  </sheetViews>
  <sheetFormatPr defaultColWidth="8.88671875" defaultRowHeight="14.4" x14ac:dyDescent="0.3"/>
  <cols>
    <col min="1" max="1" width="40.44140625" style="1" bestFit="1" customWidth="1"/>
    <col min="2" max="2" width="12.33203125" style="10" bestFit="1" customWidth="1"/>
    <col min="3" max="3" width="12" style="19" bestFit="1" customWidth="1"/>
    <col min="4" max="4" width="7" style="52" bestFit="1" customWidth="1"/>
    <col min="5" max="5" width="11" style="4" bestFit="1" customWidth="1"/>
    <col min="6" max="6" width="11.44140625" style="4" bestFit="1" customWidth="1"/>
    <col min="7" max="7" width="13.5546875" style="46" bestFit="1" customWidth="1"/>
    <col min="8" max="8" width="16.33203125" style="4" bestFit="1" customWidth="1"/>
    <col min="9" max="9" width="19.88671875" style="4" customWidth="1"/>
    <col min="12" max="16384" width="8.88671875" style="1"/>
  </cols>
  <sheetData>
    <row r="1" spans="1:16" x14ac:dyDescent="0.3">
      <c r="A1" s="3" t="s">
        <v>50</v>
      </c>
      <c r="B1" s="11"/>
      <c r="C1" s="21"/>
      <c r="D1" s="48"/>
      <c r="E1" s="7"/>
      <c r="F1" s="7"/>
      <c r="G1" s="42"/>
      <c r="H1" s="7"/>
      <c r="I1" s="7"/>
    </row>
    <row r="2" spans="1:16" s="2" customFormat="1" ht="40.200000000000003" x14ac:dyDescent="0.3">
      <c r="A2" s="28"/>
      <c r="B2" s="11" t="s">
        <v>1</v>
      </c>
      <c r="C2" s="36" t="s">
        <v>2</v>
      </c>
      <c r="D2" s="49" t="s">
        <v>3</v>
      </c>
      <c r="E2" s="37" t="s">
        <v>4</v>
      </c>
      <c r="F2" s="37" t="s">
        <v>5</v>
      </c>
      <c r="G2" s="43" t="s">
        <v>6</v>
      </c>
      <c r="H2" s="37" t="s">
        <v>7</v>
      </c>
      <c r="I2" s="37" t="s">
        <v>8</v>
      </c>
      <c r="J2" s="22"/>
      <c r="K2" s="22"/>
    </row>
    <row r="3" spans="1:16" ht="50.1" customHeight="1" x14ac:dyDescent="0.3">
      <c r="A3" s="3"/>
      <c r="B3" s="38" t="s">
        <v>9</v>
      </c>
      <c r="C3" s="21">
        <v>9931</v>
      </c>
      <c r="D3" s="50">
        <f>C3/C$25</f>
        <v>5.4251750849476109E-2</v>
      </c>
      <c r="E3" s="39">
        <v>28860</v>
      </c>
      <c r="F3" s="39">
        <v>31450</v>
      </c>
      <c r="G3" s="44">
        <f>1-E3/F3</f>
        <v>8.2352941176470629E-2</v>
      </c>
      <c r="H3" s="5">
        <f>E3*C3</f>
        <v>286608660</v>
      </c>
      <c r="I3" s="5">
        <f>F3*C3</f>
        <v>312329950</v>
      </c>
      <c r="N3"/>
      <c r="O3"/>
      <c r="P3"/>
    </row>
    <row r="4" spans="1:16" ht="50.1" customHeight="1" x14ac:dyDescent="0.3">
      <c r="A4" s="3"/>
      <c r="B4" s="11" t="s">
        <v>10</v>
      </c>
      <c r="C4" s="21">
        <v>10036</v>
      </c>
      <c r="D4" s="50">
        <f t="shared" ref="D4:D23" si="0">C4/C$25</f>
        <v>5.4825352081899328E-2</v>
      </c>
      <c r="E4" s="40">
        <v>29716</v>
      </c>
      <c r="F4" s="40">
        <v>32150</v>
      </c>
      <c r="G4" s="44">
        <f t="shared" ref="G4:G23" si="1">1-E4/F4</f>
        <v>7.5707620528771336E-2</v>
      </c>
      <c r="H4" s="8">
        <f t="shared" ref="H4:H23" si="2">E4*C4</f>
        <v>298229776</v>
      </c>
      <c r="I4" s="8">
        <f>F4*C4</f>
        <v>322657400</v>
      </c>
      <c r="N4"/>
      <c r="O4"/>
      <c r="P4"/>
    </row>
    <row r="5" spans="1:16" ht="50.1" customHeight="1" x14ac:dyDescent="0.3">
      <c r="A5" s="3"/>
      <c r="B5" s="11" t="s">
        <v>11</v>
      </c>
      <c r="C5" s="21">
        <v>7588</v>
      </c>
      <c r="D5" s="50">
        <f t="shared" si="0"/>
        <v>4.1452249063117987E-2</v>
      </c>
      <c r="E5" s="40">
        <v>17738</v>
      </c>
      <c r="F5" s="40">
        <v>19119</v>
      </c>
      <c r="G5" s="44">
        <f t="shared" si="1"/>
        <v>7.2231811287201242E-2</v>
      </c>
      <c r="H5" s="8">
        <f t="shared" si="2"/>
        <v>134595944</v>
      </c>
      <c r="I5" s="8">
        <f t="shared" ref="I5:I23" si="3">F5*C5</f>
        <v>145074972</v>
      </c>
    </row>
    <row r="6" spans="1:16" ht="50.1" customHeight="1" x14ac:dyDescent="0.3">
      <c r="A6" s="3"/>
      <c r="B6" s="11" t="s">
        <v>12</v>
      </c>
      <c r="C6" s="21">
        <v>7299</v>
      </c>
      <c r="D6" s="50">
        <f t="shared" si="0"/>
        <v>3.9873479956734077E-2</v>
      </c>
      <c r="E6" s="40">
        <v>19356</v>
      </c>
      <c r="F6" s="40">
        <v>20900</v>
      </c>
      <c r="G6" s="44">
        <f t="shared" si="1"/>
        <v>7.3875598086124428E-2</v>
      </c>
      <c r="H6" s="8">
        <f t="shared" si="2"/>
        <v>141279444</v>
      </c>
      <c r="I6" s="8">
        <f t="shared" si="3"/>
        <v>152549100</v>
      </c>
    </row>
    <row r="7" spans="1:16" ht="50.1" customHeight="1" x14ac:dyDescent="0.3">
      <c r="A7" s="3"/>
      <c r="B7" s="11" t="s">
        <v>13</v>
      </c>
      <c r="C7" s="21">
        <v>9806</v>
      </c>
      <c r="D7" s="50">
        <f t="shared" si="0"/>
        <v>5.3568892239448468E-2</v>
      </c>
      <c r="E7" s="40">
        <v>26263</v>
      </c>
      <c r="F7" s="40">
        <v>28450</v>
      </c>
      <c r="G7" s="44">
        <f t="shared" si="1"/>
        <v>7.6871704745166913E-2</v>
      </c>
      <c r="H7" s="8">
        <f t="shared" si="2"/>
        <v>257534978</v>
      </c>
      <c r="I7" s="8">
        <f t="shared" si="3"/>
        <v>278980700</v>
      </c>
    </row>
    <row r="8" spans="1:16" ht="50.1" customHeight="1" x14ac:dyDescent="0.3">
      <c r="A8" s="3"/>
      <c r="B8" s="11" t="s">
        <v>14</v>
      </c>
      <c r="C8" s="21">
        <v>10832</v>
      </c>
      <c r="D8" s="50">
        <f t="shared" si="0"/>
        <v>5.9173795710555352E-2</v>
      </c>
      <c r="E8" s="40">
        <v>27847</v>
      </c>
      <c r="F8" s="40">
        <v>30175</v>
      </c>
      <c r="G8" s="44">
        <f t="shared" si="1"/>
        <v>7.7149958574979305E-2</v>
      </c>
      <c r="H8" s="8">
        <f t="shared" si="2"/>
        <v>301638704</v>
      </c>
      <c r="I8" s="8">
        <f t="shared" si="3"/>
        <v>326855600</v>
      </c>
    </row>
    <row r="9" spans="1:16" ht="50.1" customHeight="1" x14ac:dyDescent="0.3">
      <c r="A9" s="3"/>
      <c r="B9" s="11" t="s">
        <v>15</v>
      </c>
      <c r="C9" s="21">
        <v>9749</v>
      </c>
      <c r="D9" s="50">
        <f t="shared" si="0"/>
        <v>5.3257508713275864E-2</v>
      </c>
      <c r="E9" s="40">
        <v>30025</v>
      </c>
      <c r="F9" s="40">
        <v>32350</v>
      </c>
      <c r="G9" s="44">
        <f t="shared" si="1"/>
        <v>7.1870170015455925E-2</v>
      </c>
      <c r="H9" s="8">
        <f t="shared" si="2"/>
        <v>292713725</v>
      </c>
      <c r="I9" s="8">
        <f t="shared" si="3"/>
        <v>315380150</v>
      </c>
    </row>
    <row r="10" spans="1:16" ht="50.1" customHeight="1" x14ac:dyDescent="0.3">
      <c r="A10" s="3"/>
      <c r="B10" s="11" t="s">
        <v>16</v>
      </c>
      <c r="C10" s="21">
        <v>9077</v>
      </c>
      <c r="D10" s="50">
        <f t="shared" si="0"/>
        <v>4.9586460825767259E-2</v>
      </c>
      <c r="E10" s="40">
        <v>35096</v>
      </c>
      <c r="F10" s="40">
        <v>38200</v>
      </c>
      <c r="G10" s="44">
        <f t="shared" si="1"/>
        <v>8.1256544502617767E-2</v>
      </c>
      <c r="H10" s="8">
        <f t="shared" si="2"/>
        <v>318566392</v>
      </c>
      <c r="I10" s="8">
        <f t="shared" si="3"/>
        <v>346741400</v>
      </c>
    </row>
    <row r="11" spans="1:16" ht="50.1" customHeight="1" x14ac:dyDescent="0.3">
      <c r="A11" s="3"/>
      <c r="B11" s="11" t="s">
        <v>17</v>
      </c>
      <c r="C11" s="21">
        <v>7685</v>
      </c>
      <c r="D11" s="50">
        <f t="shared" si="0"/>
        <v>4.198214734449944E-2</v>
      </c>
      <c r="E11" s="40">
        <v>38762</v>
      </c>
      <c r="F11" s="40">
        <v>42500</v>
      </c>
      <c r="G11" s="44">
        <f t="shared" si="1"/>
        <v>8.7952941176470567E-2</v>
      </c>
      <c r="H11" s="8">
        <f t="shared" si="2"/>
        <v>297885970</v>
      </c>
      <c r="I11" s="8">
        <f t="shared" si="3"/>
        <v>326612500</v>
      </c>
    </row>
    <row r="12" spans="1:16" ht="50.1" customHeight="1" x14ac:dyDescent="0.3">
      <c r="A12" s="3"/>
      <c r="B12" s="11" t="s">
        <v>18</v>
      </c>
      <c r="C12" s="21">
        <v>10592</v>
      </c>
      <c r="D12" s="50">
        <f t="shared" si="0"/>
        <v>5.7862707179302281E-2</v>
      </c>
      <c r="E12" s="40">
        <v>37154</v>
      </c>
      <c r="F12" s="40">
        <v>40400</v>
      </c>
      <c r="G12" s="44">
        <f t="shared" si="1"/>
        <v>8.0346534653465307E-2</v>
      </c>
      <c r="H12" s="8">
        <f t="shared" si="2"/>
        <v>393535168</v>
      </c>
      <c r="I12" s="8">
        <f t="shared" si="3"/>
        <v>427916800</v>
      </c>
    </row>
    <row r="13" spans="1:16" ht="50.1" customHeight="1" x14ac:dyDescent="0.3">
      <c r="A13" s="3"/>
      <c r="B13" s="11" t="s">
        <v>19</v>
      </c>
      <c r="C13" s="21">
        <v>10179</v>
      </c>
      <c r="D13" s="50">
        <f t="shared" si="0"/>
        <v>5.5606542331770953E-2</v>
      </c>
      <c r="E13" s="40">
        <v>59967</v>
      </c>
      <c r="F13" s="40">
        <v>64900</v>
      </c>
      <c r="G13" s="44">
        <f t="shared" si="1"/>
        <v>7.6009244992295888E-2</v>
      </c>
      <c r="H13" s="8">
        <f t="shared" si="2"/>
        <v>610404093</v>
      </c>
      <c r="I13" s="8">
        <f t="shared" si="3"/>
        <v>660617100</v>
      </c>
    </row>
    <row r="14" spans="1:16" ht="50.1" customHeight="1" x14ac:dyDescent="0.3">
      <c r="A14" s="3"/>
      <c r="B14" s="11" t="s">
        <v>20</v>
      </c>
      <c r="C14" s="21">
        <v>6689</v>
      </c>
      <c r="D14" s="50">
        <f t="shared" si="0"/>
        <v>3.6541129939799182E-2</v>
      </c>
      <c r="E14" s="40">
        <v>57536</v>
      </c>
      <c r="F14" s="40">
        <v>62350</v>
      </c>
      <c r="G14" s="44">
        <f t="shared" si="1"/>
        <v>7.720930232558143E-2</v>
      </c>
      <c r="H14" s="8">
        <f t="shared" si="2"/>
        <v>384858304</v>
      </c>
      <c r="I14" s="8">
        <f t="shared" si="3"/>
        <v>417059150</v>
      </c>
    </row>
    <row r="15" spans="1:16" ht="50.1" customHeight="1" x14ac:dyDescent="0.3">
      <c r="A15" s="3"/>
      <c r="B15" s="11" t="s">
        <v>21</v>
      </c>
      <c r="C15" s="21">
        <v>6859</v>
      </c>
      <c r="D15" s="50">
        <f t="shared" si="0"/>
        <v>3.7469817649436778E-2</v>
      </c>
      <c r="E15" s="40">
        <v>24853</v>
      </c>
      <c r="F15" s="40">
        <v>27200</v>
      </c>
      <c r="G15" s="44">
        <f t="shared" si="1"/>
        <v>8.6286764705882368E-2</v>
      </c>
      <c r="H15" s="8">
        <f t="shared" si="2"/>
        <v>170466727</v>
      </c>
      <c r="I15" s="8">
        <f t="shared" si="3"/>
        <v>186564800</v>
      </c>
    </row>
    <row r="16" spans="1:16" ht="50.1" customHeight="1" x14ac:dyDescent="0.3">
      <c r="A16" s="3"/>
      <c r="B16" s="11" t="s">
        <v>22</v>
      </c>
      <c r="C16" s="21">
        <v>10559</v>
      </c>
      <c r="D16" s="50">
        <f t="shared" si="0"/>
        <v>5.7682432506254988E-2</v>
      </c>
      <c r="E16" s="40">
        <v>26494</v>
      </c>
      <c r="F16" s="40">
        <v>28700</v>
      </c>
      <c r="G16" s="44">
        <f t="shared" si="1"/>
        <v>7.6864111498257892E-2</v>
      </c>
      <c r="H16" s="8">
        <f t="shared" si="2"/>
        <v>279750146</v>
      </c>
      <c r="I16" s="8">
        <f t="shared" si="3"/>
        <v>303043300</v>
      </c>
    </row>
    <row r="17" spans="1:9" ht="50.1" customHeight="1" x14ac:dyDescent="0.3">
      <c r="A17" s="3"/>
      <c r="B17" s="11" t="s">
        <v>23</v>
      </c>
      <c r="C17" s="21">
        <v>7457</v>
      </c>
      <c r="D17" s="50">
        <f t="shared" si="0"/>
        <v>4.0736613239809018E-2</v>
      </c>
      <c r="E17" s="40">
        <v>16391</v>
      </c>
      <c r="F17" s="40">
        <v>17950</v>
      </c>
      <c r="G17" s="44">
        <f t="shared" si="1"/>
        <v>8.6852367688022292E-2</v>
      </c>
      <c r="H17" s="8">
        <f t="shared" si="2"/>
        <v>122227687</v>
      </c>
      <c r="I17" s="8">
        <f t="shared" si="3"/>
        <v>133853150</v>
      </c>
    </row>
    <row r="18" spans="1:9" ht="50.1" customHeight="1" x14ac:dyDescent="0.3">
      <c r="A18" s="3"/>
      <c r="B18" s="11" t="s">
        <v>24</v>
      </c>
      <c r="C18" s="21">
        <v>10649</v>
      </c>
      <c r="D18" s="50">
        <f t="shared" si="0"/>
        <v>5.8174090705474885E-2</v>
      </c>
      <c r="E18" s="40">
        <v>13204</v>
      </c>
      <c r="F18" s="40">
        <v>14350</v>
      </c>
      <c r="G18" s="44">
        <f t="shared" si="1"/>
        <v>7.9860627177700372E-2</v>
      </c>
      <c r="H18" s="8">
        <f t="shared" si="2"/>
        <v>140609396</v>
      </c>
      <c r="I18" s="8">
        <f t="shared" si="3"/>
        <v>152813150</v>
      </c>
    </row>
    <row r="19" spans="1:9" ht="50.1" customHeight="1" x14ac:dyDescent="0.3">
      <c r="A19" s="3"/>
      <c r="B19" s="11" t="s">
        <v>25</v>
      </c>
      <c r="C19" s="21">
        <v>6677</v>
      </c>
      <c r="D19" s="50">
        <f t="shared" si="0"/>
        <v>3.6475575513236533E-2</v>
      </c>
      <c r="E19" s="40">
        <v>22102</v>
      </c>
      <c r="F19" s="40">
        <v>24074.33</v>
      </c>
      <c r="G19" s="44">
        <f t="shared" si="1"/>
        <v>8.1926682902494163E-2</v>
      </c>
      <c r="H19" s="8">
        <f t="shared" si="2"/>
        <v>147575054</v>
      </c>
      <c r="I19" s="8">
        <f t="shared" si="3"/>
        <v>160744301.41000003</v>
      </c>
    </row>
    <row r="20" spans="1:9" ht="50.1" customHeight="1" x14ac:dyDescent="0.3">
      <c r="A20" s="3"/>
      <c r="B20" s="11" t="s">
        <v>26</v>
      </c>
      <c r="C20" s="21">
        <v>7697</v>
      </c>
      <c r="D20" s="50">
        <f t="shared" si="0"/>
        <v>4.2047701771062089E-2</v>
      </c>
      <c r="E20" s="40">
        <v>33778</v>
      </c>
      <c r="F20" s="40">
        <v>36519.22</v>
      </c>
      <c r="G20" s="44">
        <f t="shared" si="1"/>
        <v>7.50623918035489E-2</v>
      </c>
      <c r="H20" s="8">
        <f t="shared" si="2"/>
        <v>259989266</v>
      </c>
      <c r="I20" s="8">
        <f t="shared" si="3"/>
        <v>281088436.34000003</v>
      </c>
    </row>
    <row r="21" spans="1:9" ht="50.1" customHeight="1" x14ac:dyDescent="0.3">
      <c r="A21" s="3"/>
      <c r="B21" s="11" t="s">
        <v>27</v>
      </c>
      <c r="C21" s="21">
        <v>7704</v>
      </c>
      <c r="D21" s="50">
        <f t="shared" si="0"/>
        <v>4.2085941853223639E-2</v>
      </c>
      <c r="E21" s="40">
        <v>37356</v>
      </c>
      <c r="F21" s="40">
        <v>40950</v>
      </c>
      <c r="G21" s="44">
        <f t="shared" si="1"/>
        <v>8.7765567765567765E-2</v>
      </c>
      <c r="H21" s="8">
        <f t="shared" si="2"/>
        <v>287790624</v>
      </c>
      <c r="I21" s="8">
        <f t="shared" si="3"/>
        <v>315478800</v>
      </c>
    </row>
    <row r="22" spans="1:9" ht="50.1" customHeight="1" x14ac:dyDescent="0.3">
      <c r="A22" s="3"/>
      <c r="B22" s="11" t="s">
        <v>28</v>
      </c>
      <c r="C22" s="21">
        <v>8485</v>
      </c>
      <c r="D22" s="50">
        <f t="shared" si="0"/>
        <v>4.6352442448676347E-2</v>
      </c>
      <c r="E22" s="40">
        <v>39461</v>
      </c>
      <c r="F22" s="40">
        <v>42600</v>
      </c>
      <c r="G22" s="44">
        <f t="shared" si="1"/>
        <v>7.3685446009389644E-2</v>
      </c>
      <c r="H22" s="8">
        <f t="shared" si="2"/>
        <v>334826585</v>
      </c>
      <c r="I22" s="8">
        <f t="shared" si="3"/>
        <v>361461000</v>
      </c>
    </row>
    <row r="23" spans="1:9" ht="50.1" customHeight="1" x14ac:dyDescent="0.3">
      <c r="A23" s="3"/>
      <c r="B23" s="11" t="s">
        <v>29</v>
      </c>
      <c r="C23" s="21">
        <v>7504</v>
      </c>
      <c r="D23" s="50">
        <f t="shared" si="0"/>
        <v>4.0993368077179411E-2</v>
      </c>
      <c r="E23" s="40">
        <v>28206</v>
      </c>
      <c r="F23" s="40">
        <v>30900</v>
      </c>
      <c r="G23" s="44">
        <f t="shared" si="1"/>
        <v>8.7184466019417428E-2</v>
      </c>
      <c r="H23" s="8">
        <f t="shared" si="2"/>
        <v>211657824</v>
      </c>
      <c r="I23" s="8">
        <f t="shared" si="3"/>
        <v>231873600</v>
      </c>
    </row>
    <row r="24" spans="1:9" x14ac:dyDescent="0.3">
      <c r="A24" s="3"/>
      <c r="B24" s="12"/>
      <c r="C24" s="20"/>
      <c r="D24" s="51"/>
      <c r="E24" s="9"/>
      <c r="F24" s="9"/>
      <c r="G24" s="45"/>
      <c r="H24" s="6"/>
      <c r="I24" s="6"/>
    </row>
    <row r="25" spans="1:9" x14ac:dyDescent="0.3">
      <c r="A25" s="3"/>
      <c r="B25" s="11" t="s">
        <v>46</v>
      </c>
      <c r="C25" s="8">
        <f>SUM(C3:C23)</f>
        <v>183054</v>
      </c>
      <c r="D25" s="48"/>
      <c r="E25" s="7"/>
      <c r="F25" s="7"/>
      <c r="G25" s="42"/>
      <c r="H25" s="5">
        <f>SUM(H3:H23)</f>
        <v>5672744467</v>
      </c>
      <c r="I25" s="5">
        <f>SUM(I3:I23)</f>
        <v>6159695359.75</v>
      </c>
    </row>
    <row r="26" spans="1:9" x14ac:dyDescent="0.3">
      <c r="A26" s="3"/>
      <c r="B26" s="38" t="s">
        <v>30</v>
      </c>
      <c r="C26" s="8">
        <f>AVERAGE(C3:C23)</f>
        <v>8716.8571428571431</v>
      </c>
      <c r="D26" s="48"/>
      <c r="E26" s="5">
        <f>AVERAGE(E3:E23)</f>
        <v>30960.238095238095</v>
      </c>
      <c r="F26" s="5">
        <f>AVERAGE(F3:F23)</f>
        <v>33627.978571428568</v>
      </c>
      <c r="G26" s="42"/>
      <c r="H26" s="5">
        <f>AVERAGE(H3:H23)</f>
        <v>270130688.90476191</v>
      </c>
      <c r="I26" s="5">
        <f>AVERAGE(I3:I23)</f>
        <v>293318826.65476191</v>
      </c>
    </row>
    <row r="27" spans="1:9" x14ac:dyDescent="0.3">
      <c r="A27" s="3"/>
      <c r="B27" s="11" t="s">
        <v>31</v>
      </c>
      <c r="C27" s="8">
        <f>MAX(C3:C23)</f>
        <v>10832</v>
      </c>
      <c r="D27" s="48"/>
      <c r="E27" s="7"/>
      <c r="F27" s="7"/>
      <c r="G27" s="42"/>
      <c r="H27" s="7"/>
      <c r="I27" s="7"/>
    </row>
    <row r="28" spans="1:9" x14ac:dyDescent="0.3">
      <c r="A28" s="3"/>
      <c r="B28" s="11" t="s">
        <v>32</v>
      </c>
      <c r="C28" s="8">
        <f>MIN(C3:C23)</f>
        <v>6677</v>
      </c>
      <c r="D28" s="48"/>
      <c r="E28" s="7"/>
      <c r="F28" s="7"/>
      <c r="G28" s="42"/>
      <c r="H28" s="7"/>
      <c r="I28" s="7"/>
    </row>
    <row r="29" spans="1:9" x14ac:dyDescent="0.3">
      <c r="A29" s="3"/>
      <c r="B29" s="11"/>
      <c r="C29" s="21"/>
      <c r="D29" s="48"/>
      <c r="E29" s="7"/>
      <c r="F29" s="7"/>
      <c r="G29" s="42"/>
      <c r="H29" s="7"/>
      <c r="I29" s="7"/>
    </row>
    <row r="30" spans="1:9" ht="30.6" customHeight="1" x14ac:dyDescent="0.3">
      <c r="A30" s="3"/>
      <c r="B30" s="54" t="s">
        <v>33</v>
      </c>
      <c r="C30" s="54"/>
      <c r="D30" s="54"/>
      <c r="E30" s="54"/>
      <c r="F30" s="54"/>
      <c r="G30" s="53">
        <f>COUNTA(B3:B23)</f>
        <v>21</v>
      </c>
      <c r="H30" s="7"/>
      <c r="I30" s="7"/>
    </row>
    <row r="32" spans="1:9" x14ac:dyDescent="0.3">
      <c r="B32" s="13">
        <v>45286</v>
      </c>
    </row>
    <row r="33" spans="2:2" x14ac:dyDescent="0.3">
      <c r="B33" s="13"/>
    </row>
    <row r="37" spans="2:2" x14ac:dyDescent="0.3">
      <c r="B37" s="13" t="str">
        <f>Semester</f>
        <v>2024 Spring</v>
      </c>
    </row>
  </sheetData>
  <mergeCells count="1">
    <mergeCell ref="B30:F30"/>
  </mergeCells>
  <pageMargins left="0.75" right="0.75" top="1" bottom="1" header="0.5" footer="0.5"/>
  <pageSetup orientation="portrait" horizontalDpi="4294967295" verticalDpi="4294967295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30A0"/>
  </sheetPr>
  <dimension ref="A1:O25"/>
  <sheetViews>
    <sheetView tabSelected="1" zoomScale="84" zoomScaleNormal="60" workbookViewId="0">
      <selection activeCell="A31" sqref="A31"/>
    </sheetView>
  </sheetViews>
  <sheetFormatPr defaultRowHeight="14.4" x14ac:dyDescent="0.3"/>
  <cols>
    <col min="1" max="1" width="23.21875" bestFit="1" customWidth="1"/>
    <col min="2" max="2" width="14.109375" style="16" bestFit="1" customWidth="1"/>
    <col min="3" max="3" width="19.77734375" style="14" customWidth="1"/>
    <col min="4" max="7" width="19.77734375" style="15" customWidth="1"/>
    <col min="8" max="12" width="20.77734375" style="17" customWidth="1"/>
  </cols>
  <sheetData>
    <row r="1" spans="1:15" x14ac:dyDescent="0.3">
      <c r="A1" s="55" t="s">
        <v>34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18"/>
      <c r="N1" s="18"/>
      <c r="O1" s="18"/>
    </row>
    <row r="2" spans="1:15" s="22" customFormat="1" ht="43.2" x14ac:dyDescent="0.3">
      <c r="A2" s="30" t="s">
        <v>1</v>
      </c>
      <c r="B2" s="31" t="s">
        <v>35</v>
      </c>
      <c r="C2" s="32" t="s">
        <v>36</v>
      </c>
      <c r="D2" s="33" t="s">
        <v>37</v>
      </c>
      <c r="E2" s="33" t="s">
        <v>38</v>
      </c>
      <c r="F2" s="33" t="s">
        <v>39</v>
      </c>
      <c r="G2" s="33" t="s">
        <v>40</v>
      </c>
      <c r="H2" s="34" t="s">
        <v>41</v>
      </c>
      <c r="I2" s="34" t="s">
        <v>42</v>
      </c>
      <c r="J2" s="34" t="s">
        <v>43</v>
      </c>
      <c r="K2" s="34" t="s">
        <v>44</v>
      </c>
      <c r="L2" s="34" t="s">
        <v>45</v>
      </c>
      <c r="M2" s="35"/>
      <c r="N2" s="35"/>
      <c r="O2" s="35"/>
    </row>
    <row r="3" spans="1:15" x14ac:dyDescent="0.3">
      <c r="A3" s="23" t="s">
        <v>9</v>
      </c>
      <c r="B3" s="24">
        <f>SUM('Q1 Actual:Q4'!$C3)</f>
        <v>33466</v>
      </c>
      <c r="C3" s="25">
        <f>'Q1 Actual'!$I3</f>
        <v>273331950</v>
      </c>
      <c r="D3" s="26">
        <f>'Q2'!$I3</f>
        <v>241221500</v>
      </c>
      <c r="E3" s="26">
        <f>'Q3'!$I3</f>
        <v>225622300</v>
      </c>
      <c r="F3" s="26">
        <f>'Q4'!$I3</f>
        <v>312329950</v>
      </c>
      <c r="G3" s="26">
        <f>SUM($C3:$F3)</f>
        <v>1052505700</v>
      </c>
      <c r="H3" s="27">
        <f>C3/$G$25</f>
        <v>1.1615671289673571E-2</v>
      </c>
      <c r="I3" s="27">
        <f t="shared" ref="I3:L18" si="0">D3/$G$25</f>
        <v>1.0251087192704671E-2</v>
      </c>
      <c r="J3" s="27">
        <f t="shared" si="0"/>
        <v>9.5881746441282018E-3</v>
      </c>
      <c r="K3" s="27">
        <f t="shared" si="0"/>
        <v>1.3272952661114744E-2</v>
      </c>
      <c r="L3" s="27">
        <f t="shared" si="0"/>
        <v>4.4727885787621185E-2</v>
      </c>
    </row>
    <row r="4" spans="1:15" x14ac:dyDescent="0.3">
      <c r="A4" s="28" t="s">
        <v>10</v>
      </c>
      <c r="B4" s="24">
        <f>SUM('Q1 Actual:Q4'!$C4)</f>
        <v>38605</v>
      </c>
      <c r="C4" s="29">
        <f>'Q1 Actual'!$I4</f>
        <v>243889900</v>
      </c>
      <c r="D4" s="24">
        <f>'Q2'!$I4</f>
        <v>340018400</v>
      </c>
      <c r="E4" s="24">
        <f>'Q3'!$I4</f>
        <v>334585050</v>
      </c>
      <c r="F4" s="24">
        <f>'Q4'!$I4</f>
        <v>322657400</v>
      </c>
      <c r="G4" s="24">
        <f t="shared" ref="G4:G23" si="1">SUM($C4:$F4)</f>
        <v>1241150750</v>
      </c>
      <c r="H4" s="27">
        <f t="shared" ref="H4:H23" si="2">C4/$G$25</f>
        <v>1.0364485049301255E-2</v>
      </c>
      <c r="I4" s="27">
        <f t="shared" si="0"/>
        <v>1.4449616910283427E-2</v>
      </c>
      <c r="J4" s="27">
        <f t="shared" si="0"/>
        <v>1.4218718152923564E-2</v>
      </c>
      <c r="K4" s="27">
        <f t="shared" si="0"/>
        <v>1.3711833898601028E-2</v>
      </c>
      <c r="L4" s="27">
        <f t="shared" si="0"/>
        <v>5.2744654011109275E-2</v>
      </c>
    </row>
    <row r="5" spans="1:15" x14ac:dyDescent="0.3">
      <c r="A5" s="28" t="s">
        <v>11</v>
      </c>
      <c r="B5" s="24">
        <f>SUM('Q1 Actual:Q4'!$C5)</f>
        <v>31224</v>
      </c>
      <c r="C5" s="29">
        <f>'Q1 Actual'!$I5</f>
        <v>142226241</v>
      </c>
      <c r="D5" s="24">
        <f>'Q2'!$I5</f>
        <v>139855485</v>
      </c>
      <c r="E5" s="24">
        <f>'Q3'!$I5</f>
        <v>169814958</v>
      </c>
      <c r="F5" s="24">
        <f>'Q4'!$I5</f>
        <v>145074972</v>
      </c>
      <c r="G5" s="24">
        <f t="shared" si="1"/>
        <v>596971656</v>
      </c>
      <c r="H5" s="27">
        <f t="shared" si="2"/>
        <v>6.0441278973127517E-3</v>
      </c>
      <c r="I5" s="27">
        <f t="shared" si="0"/>
        <v>5.9433788908244091E-3</v>
      </c>
      <c r="J5" s="27">
        <f t="shared" si="0"/>
        <v>7.2165538357214492E-3</v>
      </c>
      <c r="K5" s="27">
        <f t="shared" si="0"/>
        <v>6.1651892034963246E-3</v>
      </c>
      <c r="L5" s="27">
        <f t="shared" si="0"/>
        <v>2.5369249827354935E-2</v>
      </c>
    </row>
    <row r="6" spans="1:15" x14ac:dyDescent="0.3">
      <c r="A6" s="28" t="s">
        <v>12</v>
      </c>
      <c r="B6" s="24">
        <f>SUM('Q1 Actual:Q4'!$C6)</f>
        <v>25611</v>
      </c>
      <c r="C6" s="29">
        <f>'Q1 Actual'!$I6</f>
        <v>0</v>
      </c>
      <c r="D6" s="24">
        <f>'Q2'!$I6</f>
        <v>191130500</v>
      </c>
      <c r="E6" s="24">
        <f>'Q3'!$I6</f>
        <v>191590300</v>
      </c>
      <c r="F6" s="24">
        <f>'Q4'!$I6</f>
        <v>152549100</v>
      </c>
      <c r="G6" s="24">
        <f t="shared" si="1"/>
        <v>535269900</v>
      </c>
      <c r="H6" s="27">
        <f t="shared" si="2"/>
        <v>0</v>
      </c>
      <c r="I6" s="27">
        <f t="shared" si="0"/>
        <v>8.1223913319718177E-3</v>
      </c>
      <c r="J6" s="27">
        <f t="shared" si="0"/>
        <v>8.1419312564445772E-3</v>
      </c>
      <c r="K6" s="27">
        <f t="shared" si="0"/>
        <v>6.4828140330303232E-3</v>
      </c>
      <c r="L6" s="27">
        <f t="shared" si="0"/>
        <v>2.2747136621446718E-2</v>
      </c>
    </row>
    <row r="7" spans="1:15" x14ac:dyDescent="0.3">
      <c r="A7" s="28" t="s">
        <v>13</v>
      </c>
      <c r="B7" s="24">
        <f>SUM('Q1 Actual:Q4'!$C7)</f>
        <v>37129</v>
      </c>
      <c r="C7" s="29">
        <f>'Q1 Actual'!$I7</f>
        <v>283305100</v>
      </c>
      <c r="D7" s="24">
        <f>'Q2'!$I7</f>
        <v>225836100</v>
      </c>
      <c r="E7" s="24">
        <f>'Q3'!$I7</f>
        <v>268198150</v>
      </c>
      <c r="F7" s="24">
        <f>'Q4'!$I7</f>
        <v>278980700</v>
      </c>
      <c r="G7" s="24">
        <f t="shared" si="1"/>
        <v>1056320050</v>
      </c>
      <c r="H7" s="27">
        <f t="shared" si="2"/>
        <v>1.2039495991186176E-2</v>
      </c>
      <c r="I7" s="27">
        <f t="shared" si="0"/>
        <v>9.5972604115320201E-3</v>
      </c>
      <c r="J7" s="27">
        <f t="shared" si="0"/>
        <v>1.1397502380890949E-2</v>
      </c>
      <c r="K7" s="27">
        <f t="shared" si="0"/>
        <v>1.1855723808954773E-2</v>
      </c>
      <c r="L7" s="27">
        <f t="shared" si="0"/>
        <v>4.4889982592563916E-2</v>
      </c>
    </row>
    <row r="8" spans="1:15" x14ac:dyDescent="0.3">
      <c r="A8" s="28" t="s">
        <v>14</v>
      </c>
      <c r="B8" s="24">
        <f>SUM('Q1 Actual:Q4'!$C8)</f>
        <v>35905</v>
      </c>
      <c r="C8" s="29">
        <f>'Q1 Actual'!$I8</f>
        <v>176976375</v>
      </c>
      <c r="D8" s="24">
        <f>'Q2'!$I8</f>
        <v>303982950</v>
      </c>
      <c r="E8" s="24">
        <f>'Q3'!$I8</f>
        <v>275618450</v>
      </c>
      <c r="F8" s="24">
        <f>'Q4'!$I8</f>
        <v>326855600</v>
      </c>
      <c r="G8" s="24">
        <f t="shared" si="1"/>
        <v>1083433375</v>
      </c>
      <c r="H8" s="27">
        <f t="shared" si="2"/>
        <v>7.520889519275019E-3</v>
      </c>
      <c r="I8" s="27">
        <f t="shared" si="0"/>
        <v>1.2918233762519445E-2</v>
      </c>
      <c r="J8" s="27">
        <f t="shared" si="0"/>
        <v>1.1712839704869228E-2</v>
      </c>
      <c r="K8" s="27">
        <f t="shared" si="0"/>
        <v>1.3890243013262917E-2</v>
      </c>
      <c r="L8" s="27">
        <f t="shared" si="0"/>
        <v>4.604220599992661E-2</v>
      </c>
    </row>
    <row r="9" spans="1:15" x14ac:dyDescent="0.3">
      <c r="A9" s="28" t="s">
        <v>15</v>
      </c>
      <c r="B9" s="24">
        <f>SUM('Q1 Actual:Q4'!$C9)</f>
        <v>39280</v>
      </c>
      <c r="C9" s="29">
        <f>'Q1 Actual'!$I9</f>
        <v>281639100</v>
      </c>
      <c r="D9" s="24">
        <f>'Q2'!$I9</f>
        <v>341971850</v>
      </c>
      <c r="E9" s="24">
        <f>'Q3'!$I9</f>
        <v>331716900</v>
      </c>
      <c r="F9" s="24">
        <f>'Q4'!$I9</f>
        <v>315380150</v>
      </c>
      <c r="G9" s="24">
        <f t="shared" si="1"/>
        <v>1270708000</v>
      </c>
      <c r="H9" s="27">
        <f t="shared" si="2"/>
        <v>1.1968696699816848E-2</v>
      </c>
      <c r="I9" s="27">
        <f t="shared" si="0"/>
        <v>1.4532631841691237E-2</v>
      </c>
      <c r="J9" s="27">
        <f t="shared" si="0"/>
        <v>1.4096831605780147E-2</v>
      </c>
      <c r="K9" s="27">
        <f t="shared" si="0"/>
        <v>1.3402575709454911E-2</v>
      </c>
      <c r="L9" s="27">
        <f t="shared" si="0"/>
        <v>5.4000735856743143E-2</v>
      </c>
    </row>
    <row r="10" spans="1:15" x14ac:dyDescent="0.3">
      <c r="A10" s="28" t="s">
        <v>16</v>
      </c>
      <c r="B10" s="24">
        <f>SUM('Q1 Actual:Q4'!$C10)</f>
        <v>29085</v>
      </c>
      <c r="C10" s="29">
        <f>'Q1 Actual'!$I10</f>
        <v>0</v>
      </c>
      <c r="D10" s="24">
        <f>'Q2'!$I10</f>
        <v>346244800</v>
      </c>
      <c r="E10" s="24">
        <f>'Q3'!$I10</f>
        <v>418060800</v>
      </c>
      <c r="F10" s="24">
        <f>'Q4'!$I10</f>
        <v>346741400</v>
      </c>
      <c r="G10" s="24">
        <f t="shared" si="1"/>
        <v>1111047000</v>
      </c>
      <c r="H10" s="27">
        <f t="shared" si="2"/>
        <v>0</v>
      </c>
      <c r="I10" s="27">
        <f t="shared" si="0"/>
        <v>1.4714217575218586E-2</v>
      </c>
      <c r="J10" s="27">
        <f t="shared" si="0"/>
        <v>1.7766151494173897E-2</v>
      </c>
      <c r="K10" s="27">
        <f t="shared" si="0"/>
        <v>1.473532137359434E-2</v>
      </c>
      <c r="L10" s="27">
        <f t="shared" si="0"/>
        <v>4.7215690442986825E-2</v>
      </c>
    </row>
    <row r="11" spans="1:15" x14ac:dyDescent="0.3">
      <c r="A11" s="28" t="s">
        <v>17</v>
      </c>
      <c r="B11" s="24">
        <f>SUM('Q1 Actual:Q4'!$C11)</f>
        <v>36598</v>
      </c>
      <c r="C11" s="29">
        <f>'Q1 Actual'!$I11</f>
        <v>425977500</v>
      </c>
      <c r="D11" s="24">
        <f>'Q2'!$I11</f>
        <v>345525000</v>
      </c>
      <c r="E11" s="24">
        <f>'Q3'!$I11</f>
        <v>457300000</v>
      </c>
      <c r="F11" s="24">
        <f>'Q4'!$I11</f>
        <v>326612500</v>
      </c>
      <c r="G11" s="24">
        <f t="shared" si="1"/>
        <v>1555415000</v>
      </c>
      <c r="H11" s="27">
        <f t="shared" si="2"/>
        <v>1.8102584117213241E-2</v>
      </c>
      <c r="I11" s="27">
        <f t="shared" si="0"/>
        <v>1.4683628541648572E-2</v>
      </c>
      <c r="J11" s="27">
        <f t="shared" si="0"/>
        <v>1.9433683039131445E-2</v>
      </c>
      <c r="K11" s="27">
        <f t="shared" si="0"/>
        <v>1.3879912096256984E-2</v>
      </c>
      <c r="L11" s="27">
        <f t="shared" si="0"/>
        <v>6.6099807794250245E-2</v>
      </c>
    </row>
    <row r="12" spans="1:15" x14ac:dyDescent="0.3">
      <c r="A12" s="28" t="s">
        <v>18</v>
      </c>
      <c r="B12" s="24">
        <f>SUM('Q1 Actual:Q4'!$C12)</f>
        <v>38107</v>
      </c>
      <c r="C12" s="29">
        <f>'Q1 Actual'!$I12</f>
        <v>365781600</v>
      </c>
      <c r="D12" s="24">
        <f>'Q2'!$I12</f>
        <v>407474400</v>
      </c>
      <c r="E12" s="24">
        <f>'Q3'!$I12</f>
        <v>338350000</v>
      </c>
      <c r="F12" s="24">
        <f>'Q4'!$I12</f>
        <v>427916800</v>
      </c>
      <c r="G12" s="24">
        <f t="shared" si="1"/>
        <v>1539522800</v>
      </c>
      <c r="H12" s="27">
        <f t="shared" si="2"/>
        <v>1.5544464631415619E-2</v>
      </c>
      <c r="I12" s="27">
        <f t="shared" si="0"/>
        <v>1.7316265768992482E-2</v>
      </c>
      <c r="J12" s="27">
        <f t="shared" si="0"/>
        <v>1.4378715627137818E-2</v>
      </c>
      <c r="K12" s="27">
        <f t="shared" si="0"/>
        <v>1.818499772210672E-2</v>
      </c>
      <c r="L12" s="27">
        <f t="shared" si="0"/>
        <v>6.5424443749652644E-2</v>
      </c>
    </row>
    <row r="13" spans="1:15" x14ac:dyDescent="0.3">
      <c r="A13" s="28" t="s">
        <v>19</v>
      </c>
      <c r="B13" s="24">
        <f>SUM('Q1 Actual:Q4'!$C13)</f>
        <v>33273</v>
      </c>
      <c r="C13" s="29">
        <f>'Q1 Actual'!$I13</f>
        <v>500054500</v>
      </c>
      <c r="D13" s="24">
        <f>'Q2'!$I13</f>
        <v>496420100</v>
      </c>
      <c r="E13" s="24">
        <f>'Q3'!$I13</f>
        <v>502326000</v>
      </c>
      <c r="F13" s="24">
        <f>'Q4'!$I13</f>
        <v>660617100</v>
      </c>
      <c r="G13" s="24">
        <f t="shared" si="1"/>
        <v>2159417700</v>
      </c>
      <c r="H13" s="27">
        <f t="shared" si="2"/>
        <v>2.1250602788741208E-2</v>
      </c>
      <c r="I13" s="27">
        <f t="shared" si="0"/>
        <v>2.1096153242190982E-2</v>
      </c>
      <c r="J13" s="27">
        <f t="shared" si="0"/>
        <v>2.1347133755335101E-2</v>
      </c>
      <c r="K13" s="27">
        <f t="shared" si="0"/>
        <v>2.807396311312093E-2</v>
      </c>
      <c r="L13" s="27">
        <f>G13/$G$25</f>
        <v>9.1767852899388228E-2</v>
      </c>
    </row>
    <row r="14" spans="1:15" x14ac:dyDescent="0.3">
      <c r="A14" s="28" t="s">
        <v>20</v>
      </c>
      <c r="B14" s="24">
        <f>SUM('Q1 Actual:Q4'!$C14)</f>
        <v>32216</v>
      </c>
      <c r="C14" s="29">
        <f>'Q1 Actual'!$I14</f>
        <v>370234300</v>
      </c>
      <c r="D14" s="24">
        <f>'Q2'!$I14</f>
        <v>653490350</v>
      </c>
      <c r="E14" s="24">
        <f>'Q3'!$I14</f>
        <v>567883800</v>
      </c>
      <c r="F14" s="24">
        <f>'Q4'!$I14</f>
        <v>417059150</v>
      </c>
      <c r="G14" s="24">
        <f t="shared" si="1"/>
        <v>2008667600</v>
      </c>
      <c r="H14" s="27">
        <f t="shared" si="2"/>
        <v>1.5733689124020782E-2</v>
      </c>
      <c r="I14" s="27">
        <f t="shared" si="0"/>
        <v>2.7771100658279185E-2</v>
      </c>
      <c r="J14" s="27">
        <f t="shared" si="0"/>
        <v>2.4133115618319514E-2</v>
      </c>
      <c r="K14" s="27">
        <f t="shared" si="0"/>
        <v>1.7723584801376726E-2</v>
      </c>
      <c r="L14" s="27">
        <f t="shared" si="0"/>
        <v>8.536149020199621E-2</v>
      </c>
    </row>
    <row r="15" spans="1:15" x14ac:dyDescent="0.3">
      <c r="A15" s="28" t="s">
        <v>21</v>
      </c>
      <c r="B15" s="24">
        <f>SUM('Q1 Actual:Q4'!$C15)</f>
        <v>20090</v>
      </c>
      <c r="C15" s="29">
        <f>'Q1 Actual'!$I15</f>
        <v>161785600</v>
      </c>
      <c r="D15" s="24">
        <f>'Q2'!$I15</f>
        <v>0</v>
      </c>
      <c r="E15" s="24">
        <f>'Q3'!$I15</f>
        <v>198097600</v>
      </c>
      <c r="F15" s="24">
        <f>'Q4'!$I15</f>
        <v>186564800</v>
      </c>
      <c r="G15" s="24">
        <f t="shared" si="1"/>
        <v>546448000</v>
      </c>
      <c r="H15" s="27">
        <f t="shared" si="2"/>
        <v>6.8753336337102648E-3</v>
      </c>
      <c r="I15" s="27">
        <f t="shared" si="0"/>
        <v>0</v>
      </c>
      <c r="J15" s="27">
        <f t="shared" si="0"/>
        <v>8.4184692088621147E-3</v>
      </c>
      <c r="K15" s="27">
        <f t="shared" si="0"/>
        <v>7.9283647265666959E-3</v>
      </c>
      <c r="L15" s="27">
        <f t="shared" si="0"/>
        <v>2.3222167569139078E-2</v>
      </c>
    </row>
    <row r="16" spans="1:15" x14ac:dyDescent="0.3">
      <c r="A16" s="28" t="s">
        <v>22</v>
      </c>
      <c r="B16" s="24">
        <f>SUM('Q1 Actual:Q4'!$C16)</f>
        <v>37483</v>
      </c>
      <c r="C16" s="29">
        <f>'Q1 Actual'!$I16</f>
        <v>209510000</v>
      </c>
      <c r="D16" s="24">
        <f>'Q2'!$I16</f>
        <v>321095600</v>
      </c>
      <c r="E16" s="24">
        <f>'Q3'!$I16</f>
        <v>242113200</v>
      </c>
      <c r="F16" s="24">
        <f>'Q4'!$I16</f>
        <v>303043300</v>
      </c>
      <c r="G16" s="24">
        <f t="shared" si="1"/>
        <v>1075762100</v>
      </c>
      <c r="H16" s="27">
        <f t="shared" si="2"/>
        <v>8.9034571037140374E-3</v>
      </c>
      <c r="I16" s="27">
        <f t="shared" si="0"/>
        <v>1.3645462750185293E-2</v>
      </c>
      <c r="J16" s="27">
        <f t="shared" si="0"/>
        <v>1.0288981387250906E-2</v>
      </c>
      <c r="K16" s="27">
        <f t="shared" si="0"/>
        <v>1.2878301857276234E-2</v>
      </c>
      <c r="L16" s="27">
        <f t="shared" si="0"/>
        <v>4.5716203098426472E-2</v>
      </c>
    </row>
    <row r="17" spans="1:12" x14ac:dyDescent="0.3">
      <c r="A17" s="28" t="s">
        <v>23</v>
      </c>
      <c r="B17" s="24">
        <f>SUM('Q1 Actual:Q4'!$C17)</f>
        <v>26315</v>
      </c>
      <c r="C17" s="29">
        <f>'Q1 Actual'!$I17</f>
        <v>150851800</v>
      </c>
      <c r="D17" s="24">
        <f>'Q2'!$I17</f>
        <v>187649300</v>
      </c>
      <c r="E17" s="24">
        <f>'Q3'!$I17</f>
        <v>0</v>
      </c>
      <c r="F17" s="24">
        <f>'Q4'!$I17</f>
        <v>133853150</v>
      </c>
      <c r="G17" s="24">
        <f t="shared" si="1"/>
        <v>472354250</v>
      </c>
      <c r="H17" s="27">
        <f t="shared" si="2"/>
        <v>6.4106845989119806E-3</v>
      </c>
      <c r="I17" s="27">
        <f t="shared" si="0"/>
        <v>7.9744522604742792E-3</v>
      </c>
      <c r="J17" s="27">
        <f>E17/$G$25</f>
        <v>0</v>
      </c>
      <c r="K17" s="27">
        <f t="shared" si="0"/>
        <v>5.6883002206195429E-3</v>
      </c>
      <c r="L17" s="27">
        <f t="shared" si="0"/>
        <v>2.0073437080005804E-2</v>
      </c>
    </row>
    <row r="18" spans="1:12" x14ac:dyDescent="0.3">
      <c r="A18" s="28" t="s">
        <v>24</v>
      </c>
      <c r="B18" s="24">
        <f>SUM('Q1 Actual:Q4'!$C18)</f>
        <v>35130</v>
      </c>
      <c r="C18" s="29">
        <f>'Q1 Actual'!$I18</f>
        <v>103607000</v>
      </c>
      <c r="D18" s="24">
        <f>'Q2'!$I18</f>
        <v>100206050</v>
      </c>
      <c r="E18" s="24">
        <f>'Q3'!$I18</f>
        <v>147489300</v>
      </c>
      <c r="F18" s="24">
        <f>'Q4'!$I18</f>
        <v>152813150</v>
      </c>
      <c r="G18" s="24">
        <f t="shared" si="1"/>
        <v>504115500</v>
      </c>
      <c r="H18" s="27">
        <f t="shared" si="2"/>
        <v>4.4029424855352977E-3</v>
      </c>
      <c r="I18" s="27">
        <f t="shared" si="0"/>
        <v>4.2584137640572003E-3</v>
      </c>
      <c r="J18" s="27">
        <f>E18/$G$25</f>
        <v>6.2677898706830736E-3</v>
      </c>
      <c r="K18" s="27">
        <f t="shared" si="0"/>
        <v>6.4940352532500533E-3</v>
      </c>
      <c r="L18" s="27">
        <f t="shared" si="0"/>
        <v>2.1423181373525623E-2</v>
      </c>
    </row>
    <row r="19" spans="1:12" x14ac:dyDescent="0.3">
      <c r="A19" s="28" t="s">
        <v>25</v>
      </c>
      <c r="B19" s="24">
        <f>SUM('Q1 Actual:Q4'!$C19)</f>
        <v>36609</v>
      </c>
      <c r="C19" s="29">
        <f>'Q1 Actual'!$I19</f>
        <v>247171146.11000001</v>
      </c>
      <c r="D19" s="24">
        <f>'Q2'!$I19</f>
        <v>249121166.84</v>
      </c>
      <c r="E19" s="24">
        <f>'Q3'!$I19</f>
        <v>224300532.61000001</v>
      </c>
      <c r="F19" s="24">
        <f>'Q4'!$I19</f>
        <v>160744301.41000003</v>
      </c>
      <c r="G19" s="24">
        <f t="shared" si="1"/>
        <v>881337146.97000003</v>
      </c>
      <c r="H19" s="27">
        <f t="shared" si="2"/>
        <v>1.0503926765625601E-2</v>
      </c>
      <c r="I19" s="27">
        <f t="shared" ref="I19:I23" si="3">D19/$G$25</f>
        <v>1.0586795964808972E-2</v>
      </c>
      <c r="J19" s="27">
        <f t="shared" ref="J19:J23" si="4">E19/$G$25</f>
        <v>9.5320040591539614E-3</v>
      </c>
      <c r="K19" s="27">
        <f t="shared" ref="K19:K23" si="5">F19/$G$25</f>
        <v>6.8310820116959329E-3</v>
      </c>
      <c r="L19" s="27">
        <f t="shared" ref="L19:L23" si="6">G19/$G$25</f>
        <v>3.7453808801284467E-2</v>
      </c>
    </row>
    <row r="20" spans="1:12" x14ac:dyDescent="0.3">
      <c r="A20" s="28" t="s">
        <v>26</v>
      </c>
      <c r="B20" s="24">
        <f>SUM('Q1 Actual:Q4'!$C20)</f>
        <v>30473</v>
      </c>
      <c r="C20" s="29">
        <f>'Q1 Actual'!$I20</f>
        <v>274441938.30000001</v>
      </c>
      <c r="D20" s="24">
        <f>'Q2'!$I20</f>
        <v>274186303.75999999</v>
      </c>
      <c r="E20" s="24">
        <f>'Q3'!$I20</f>
        <v>283133512.66000003</v>
      </c>
      <c r="F20" s="24">
        <f>'Q4'!$I20</f>
        <v>281088436.34000003</v>
      </c>
      <c r="G20" s="24">
        <f t="shared" si="1"/>
        <v>1112850191.0599999</v>
      </c>
      <c r="H20" s="27">
        <f t="shared" si="2"/>
        <v>1.1662841988994246E-2</v>
      </c>
      <c r="I20" s="27">
        <f t="shared" si="3"/>
        <v>1.1651978396988529E-2</v>
      </c>
      <c r="J20" s="27">
        <f t="shared" si="4"/>
        <v>1.2032204117188609E-2</v>
      </c>
      <c r="K20" s="27">
        <f t="shared" si="5"/>
        <v>1.1945295381142876E-2</v>
      </c>
      <c r="L20" s="27">
        <f t="shared" si="6"/>
        <v>4.7292319884314253E-2</v>
      </c>
    </row>
    <row r="21" spans="1:12" x14ac:dyDescent="0.3">
      <c r="A21" s="28" t="s">
        <v>27</v>
      </c>
      <c r="B21" s="24">
        <f>SUM('Q1 Actual:Q4'!$C21)</f>
        <v>33193</v>
      </c>
      <c r="C21" s="29">
        <f>'Q1 Actual'!$I21</f>
        <v>349098750</v>
      </c>
      <c r="D21" s="24">
        <f>'Q2'!$I21</f>
        <v>313963650</v>
      </c>
      <c r="E21" s="24">
        <f>'Q3'!$I21</f>
        <v>380712150</v>
      </c>
      <c r="F21" s="24">
        <f>'Q4'!$I21</f>
        <v>315478800</v>
      </c>
      <c r="G21" s="24">
        <f t="shared" si="1"/>
        <v>1359253350</v>
      </c>
      <c r="H21" s="27">
        <f t="shared" si="2"/>
        <v>1.4835500671018999E-2</v>
      </c>
      <c r="I21" s="27">
        <f t="shared" si="3"/>
        <v>1.3342379313161604E-2</v>
      </c>
      <c r="J21" s="27">
        <f t="shared" si="4"/>
        <v>1.6178961846154093E-2</v>
      </c>
      <c r="K21" s="27">
        <f t="shared" si="5"/>
        <v>1.340676799642585E-2</v>
      </c>
      <c r="L21" s="27">
        <f t="shared" si="6"/>
        <v>5.7763609826760542E-2</v>
      </c>
    </row>
    <row r="22" spans="1:12" ht="27" x14ac:dyDescent="0.3">
      <c r="A22" s="28" t="s">
        <v>28</v>
      </c>
      <c r="B22" s="24">
        <f>SUM('Q1 Actual:Q4'!$C22)</f>
        <v>29249</v>
      </c>
      <c r="C22" s="29">
        <f>'Q1 Actual'!$I22</f>
        <v>272256600</v>
      </c>
      <c r="D22" s="24">
        <f>'Q2'!$I22</f>
        <v>279967200</v>
      </c>
      <c r="E22" s="24">
        <f>'Q3'!$I22</f>
        <v>332322600</v>
      </c>
      <c r="F22" s="24">
        <f>'Q4'!$I22</f>
        <v>361461000</v>
      </c>
      <c r="G22" s="24">
        <f t="shared" si="1"/>
        <v>1246007400</v>
      </c>
      <c r="H22" s="27">
        <f t="shared" si="2"/>
        <v>1.1569972599413064E-2</v>
      </c>
      <c r="I22" s="27">
        <f t="shared" si="3"/>
        <v>1.1897646678664161E-2</v>
      </c>
      <c r="J22" s="27">
        <f t="shared" si="4"/>
        <v>1.4122571780319403E-2</v>
      </c>
      <c r="K22" s="27">
        <f t="shared" si="5"/>
        <v>1.536085393616333E-2</v>
      </c>
      <c r="L22" s="27">
        <f t="shared" si="6"/>
        <v>5.2951044994559958E-2</v>
      </c>
    </row>
    <row r="23" spans="1:12" x14ac:dyDescent="0.3">
      <c r="A23" s="28" t="s">
        <v>29</v>
      </c>
      <c r="B23" s="24">
        <f>SUM('Q1 Actual:Q4'!$C23)</f>
        <v>36335</v>
      </c>
      <c r="C23" s="29">
        <f>'Q1 Actual'!$I23</f>
        <v>324388200</v>
      </c>
      <c r="D23" s="24">
        <f>'Q2'!$I23</f>
        <v>334925100</v>
      </c>
      <c r="E23" s="24">
        <f>'Q3'!$I23</f>
        <v>231564600</v>
      </c>
      <c r="F23" s="24">
        <f>'Q4'!$I23</f>
        <v>231873600</v>
      </c>
      <c r="G23" s="24">
        <f t="shared" si="1"/>
        <v>1122751500</v>
      </c>
      <c r="H23" s="27">
        <f t="shared" si="2"/>
        <v>1.3785386967929978E-2</v>
      </c>
      <c r="I23" s="27">
        <f t="shared" si="3"/>
        <v>1.4233169112725569E-2</v>
      </c>
      <c r="J23" s="27">
        <f t="shared" si="4"/>
        <v>9.8407020325459379E-3</v>
      </c>
      <c r="K23" s="27">
        <f t="shared" si="5"/>
        <v>9.8538334737422895E-3</v>
      </c>
      <c r="L23" s="27">
        <f t="shared" si="6"/>
        <v>4.7713091586943777E-2</v>
      </c>
    </row>
    <row r="24" spans="1:12" x14ac:dyDescent="0.3">
      <c r="A24" s="18"/>
    </row>
    <row r="25" spans="1:12" x14ac:dyDescent="0.3">
      <c r="A25" s="28" t="s">
        <v>47</v>
      </c>
      <c r="B25" s="41">
        <f>SUM(B3:B23)</f>
        <v>695376</v>
      </c>
      <c r="C25" s="47">
        <f t="shared" ref="C25:G25" si="7">SUM(C3:C23)</f>
        <v>5156527600.4099998</v>
      </c>
      <c r="D25" s="47">
        <f t="shared" si="7"/>
        <v>6094285805.6000004</v>
      </c>
      <c r="E25" s="47">
        <f t="shared" si="7"/>
        <v>6120800203.2699995</v>
      </c>
      <c r="F25" s="47">
        <f t="shared" si="7"/>
        <v>6159695359.75</v>
      </c>
      <c r="G25" s="47">
        <f t="shared" si="7"/>
        <v>23531308969.030003</v>
      </c>
      <c r="H25" s="16"/>
      <c r="I25" s="16"/>
      <c r="J25" s="16"/>
      <c r="K25" s="16"/>
      <c r="L25" s="16"/>
    </row>
  </sheetData>
  <mergeCells count="1">
    <mergeCell ref="A1:L1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38521C337E304C98B20FCF07C6BA7D" ma:contentTypeVersion="4" ma:contentTypeDescription="Create a new document." ma:contentTypeScope="" ma:versionID="e54a8dbaa1f5690497a1af6baa00e574">
  <xsd:schema xmlns:xsd="http://www.w3.org/2001/XMLSchema" xmlns:xs="http://www.w3.org/2001/XMLSchema" xmlns:p="http://schemas.microsoft.com/office/2006/metadata/properties" xmlns:ns3="52073ef3-e963-427c-a197-43a7f86e45d1" targetNamespace="http://schemas.microsoft.com/office/2006/metadata/properties" ma:root="true" ma:fieldsID="0091d58883f0767deec8e05896652ab7" ns3:_="">
    <xsd:import namespace="52073ef3-e963-427c-a197-43a7f86e45d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073ef3-e963-427c-a197-43a7f86e45d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B1379D-9719-4122-8446-E347A43115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073ef3-e963-427c-a197-43a7f86e45d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363F9F-0C89-41FF-A8B7-64A78876F0C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50A3A7-957F-42E7-AB8E-DBD650BF2AEE}">
  <ds:schemaRefs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schemas.microsoft.com/office/2006/documentManagement/types"/>
    <ds:schemaRef ds:uri="52073ef3-e963-427c-a197-43a7f86e45d1"/>
    <ds:schemaRef ds:uri="http://purl.org/dc/elements/1.1/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Q1 Actual</vt:lpstr>
      <vt:lpstr>Q2</vt:lpstr>
      <vt:lpstr>Q3</vt:lpstr>
      <vt:lpstr>Q4</vt:lpstr>
      <vt:lpstr>Summary</vt:lpstr>
    </vt:vector>
  </TitlesOfParts>
  <Company>MOMD Inc 2024 Spring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Armstrong</dc:creator>
  <cp:lastModifiedBy>Caliana Sunez</cp:lastModifiedBy>
  <dcterms:created xsi:type="dcterms:W3CDTF">2023-12-26T22:52:59Z</dcterms:created>
  <dcterms:modified xsi:type="dcterms:W3CDTF">2024-04-18T09:12:22Z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0x0101004E38521C337E304C98B20FCF07C6BA7D</vt:lpwstr>
  </property>
</Properties>
</file>